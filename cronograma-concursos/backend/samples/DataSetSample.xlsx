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beromx-my.sharepoint.com/personal/paulina_oliveros_ibero_mx/Documents/Paulina/CPyCE/Concursos TODOS/Concurso Activos/"/>
    </mc:Choice>
  </mc:AlternateContent>
  <xr:revisionPtr revIDLastSave="2387" documentId="8_{D1BE96A8-1E16-4605-BB68-6AE42536681B}" xr6:coauthVersionLast="47" xr6:coauthVersionMax="47" xr10:uidLastSave="{E2D8708D-7286-47E7-8A71-2A299C78E2DB}"/>
  <bookViews>
    <workbookView xWindow="-110" yWindow="-110" windowWidth="19420" windowHeight="11500" tabRatio="746" firstSheet="16" activeTab="22" xr2:uid="{00000000-000D-0000-FFFF-FFFF00000000}"/>
  </bookViews>
  <sheets>
    <sheet name="Cronograma Base" sheetId="1" r:id="rId1"/>
    <sheet name="Huawei Innovation" sheetId="41" r:id="rId2"/>
    <sheet name="Saint Gobain" sheetId="42" r:id="rId3"/>
    <sheet name="Mathematical" sheetId="44" r:id="rId4"/>
    <sheet name="Philosophy" sheetId="48" r:id="rId5"/>
    <sheet name="Toyota" sheetId="50" r:id="rId6"/>
    <sheet name="AMIS" sheetId="51" r:id="rId7"/>
    <sheet name="Animayo" sheetId="56" r:id="rId8"/>
    <sheet name="CPS loT" sheetId="53" r:id="rId9"/>
    <sheet name="Pavilion" sheetId="58" r:id="rId10"/>
    <sheet name="Caracol de plata" sheetId="60" r:id="rId11"/>
    <sheet name="Annecy" sheetId="59" r:id="rId12"/>
    <sheet name="Sport Fit Awards" sheetId="61" r:id="rId13"/>
    <sheet name="Loreal" sheetId="62" r:id="rId14"/>
    <sheet name="Loyola" sheetId="63" r:id="rId15"/>
    <sheet name="Simulación y Logística" sheetId="69" r:id="rId16"/>
    <sheet name="Interamericano DH" sheetId="70" r:id="rId17"/>
    <sheet name="Berlin Indie" sheetId="66" r:id="rId18"/>
    <sheet name="Chilemonos" sheetId="71" r:id="rId19"/>
    <sheet name="C2A" sheetId="72" r:id="rId20"/>
    <sheet name="Punto de partida" sheetId="73" r:id="rId21"/>
    <sheet name="IEOM" sheetId="74" r:id="rId22"/>
    <sheet name="Bee2Be" sheetId="75" r:id="rId23"/>
    <sheet name="CFA Ethics" sheetId="77" r:id="rId24"/>
    <sheet name="Festival Creatividad" sheetId="78" r:id="rId25"/>
    <sheet name="IFT" sheetId="79" r:id="rId26"/>
    <sheet name="Dron Cup" sheetId="80" r:id="rId27"/>
    <sheet name="LIT LIGHT" sheetId="81" r:id="rId28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2" l="1"/>
  <c r="I11" i="42"/>
  <c r="E13" i="41"/>
  <c r="I13" i="41"/>
  <c r="E18" i="53"/>
  <c r="I18" i="53"/>
  <c r="E16" i="50"/>
  <c r="I16" i="50"/>
  <c r="E13" i="53"/>
  <c r="I13" i="53"/>
  <c r="E14" i="53"/>
  <c r="I14" i="53"/>
  <c r="E15" i="53"/>
  <c r="I15" i="53"/>
  <c r="E16" i="53"/>
  <c r="I16" i="53"/>
  <c r="E12" i="53"/>
  <c r="I12" i="53"/>
  <c r="E19" i="53"/>
  <c r="I19" i="53"/>
  <c r="E17" i="53"/>
  <c r="I17" i="53"/>
  <c r="E9" i="74"/>
  <c r="I9" i="74"/>
  <c r="E11" i="79"/>
  <c r="I11" i="79"/>
  <c r="E10" i="79"/>
  <c r="I10" i="79"/>
  <c r="I16" i="79"/>
  <c r="E16" i="79"/>
  <c r="I15" i="79"/>
  <c r="E15" i="79"/>
  <c r="I14" i="79"/>
  <c r="E14" i="79"/>
  <c r="I13" i="79"/>
  <c r="E13" i="79"/>
  <c r="I12" i="79"/>
  <c r="E12" i="79"/>
  <c r="I9" i="79"/>
  <c r="E9" i="79"/>
  <c r="I8" i="79"/>
  <c r="E8" i="79"/>
  <c r="I7" i="79"/>
  <c r="E7" i="79"/>
  <c r="I6" i="79"/>
  <c r="E6" i="79"/>
  <c r="I5" i="79"/>
  <c r="E5" i="79"/>
  <c r="I4" i="79"/>
  <c r="E4" i="79"/>
  <c r="I3" i="79"/>
  <c r="E3" i="79"/>
  <c r="I14" i="81"/>
  <c r="E14" i="81"/>
  <c r="I13" i="81"/>
  <c r="E13" i="81"/>
  <c r="I12" i="81"/>
  <c r="E12" i="81"/>
  <c r="I11" i="81"/>
  <c r="E11" i="81"/>
  <c r="I10" i="81"/>
  <c r="E10" i="81"/>
  <c r="I9" i="81"/>
  <c r="E9" i="81"/>
  <c r="I8" i="81"/>
  <c r="E8" i="81"/>
  <c r="I7" i="81"/>
  <c r="E7" i="81"/>
  <c r="I6" i="81"/>
  <c r="E6" i="81"/>
  <c r="I5" i="81"/>
  <c r="E5" i="81"/>
  <c r="I4" i="81"/>
  <c r="E4" i="81"/>
  <c r="I3" i="81"/>
  <c r="E3" i="81"/>
  <c r="E8" i="80"/>
  <c r="I8" i="80"/>
  <c r="E18" i="50"/>
  <c r="E13" i="50"/>
  <c r="I13" i="50"/>
  <c r="E14" i="50"/>
  <c r="I14" i="50"/>
  <c r="E15" i="50"/>
  <c r="I15" i="50"/>
  <c r="I10" i="50"/>
  <c r="E20" i="80"/>
  <c r="I20" i="80"/>
  <c r="E21" i="80"/>
  <c r="I21" i="80"/>
  <c r="E7" i="80"/>
  <c r="I7" i="80"/>
  <c r="E9" i="80"/>
  <c r="I9" i="80"/>
  <c r="E10" i="80"/>
  <c r="I10" i="80"/>
  <c r="E11" i="80"/>
  <c r="I11" i="80"/>
  <c r="E12" i="80"/>
  <c r="I12" i="80"/>
  <c r="E13" i="80"/>
  <c r="I13" i="80"/>
  <c r="E14" i="80"/>
  <c r="I14" i="80"/>
  <c r="I22" i="80"/>
  <c r="E22" i="80"/>
  <c r="I19" i="80"/>
  <c r="E19" i="80"/>
  <c r="I18" i="80"/>
  <c r="E18" i="80"/>
  <c r="I17" i="80"/>
  <c r="E17" i="80"/>
  <c r="I16" i="80"/>
  <c r="E16" i="80"/>
  <c r="I15" i="80"/>
  <c r="E15" i="80"/>
  <c r="I6" i="80"/>
  <c r="E6" i="80"/>
  <c r="I5" i="80"/>
  <c r="E5" i="80"/>
  <c r="I4" i="80"/>
  <c r="E4" i="80"/>
  <c r="I3" i="80"/>
  <c r="E3" i="80"/>
  <c r="E14" i="70"/>
  <c r="I14" i="70"/>
  <c r="E15" i="70"/>
  <c r="I15" i="70"/>
  <c r="E16" i="70"/>
  <c r="I16" i="70"/>
  <c r="E18" i="70"/>
  <c r="I18" i="70"/>
  <c r="E17" i="70"/>
  <c r="I17" i="70"/>
  <c r="I15" i="78"/>
  <c r="E15" i="78"/>
  <c r="I14" i="78"/>
  <c r="E14" i="78"/>
  <c r="I13" i="78"/>
  <c r="E13" i="78"/>
  <c r="I12" i="78"/>
  <c r="E12" i="78"/>
  <c r="I11" i="78"/>
  <c r="E11" i="78"/>
  <c r="I10" i="78"/>
  <c r="E10" i="78"/>
  <c r="I9" i="78"/>
  <c r="E9" i="78"/>
  <c r="I8" i="78"/>
  <c r="E8" i="78"/>
  <c r="I7" i="78"/>
  <c r="E7" i="78"/>
  <c r="I6" i="78"/>
  <c r="E6" i="78"/>
  <c r="I5" i="78"/>
  <c r="E5" i="78"/>
  <c r="I4" i="78"/>
  <c r="E4" i="78"/>
  <c r="I3" i="78"/>
  <c r="E3" i="78"/>
  <c r="I16" i="77"/>
  <c r="E16" i="77"/>
  <c r="I15" i="77"/>
  <c r="E15" i="77"/>
  <c r="I14" i="77"/>
  <c r="E14" i="77"/>
  <c r="I13" i="77"/>
  <c r="E13" i="77"/>
  <c r="I12" i="77"/>
  <c r="E12" i="77"/>
  <c r="I11" i="77"/>
  <c r="E11" i="77"/>
  <c r="I10" i="77"/>
  <c r="E10" i="77"/>
  <c r="I9" i="77"/>
  <c r="E9" i="77"/>
  <c r="I8" i="77"/>
  <c r="E8" i="77"/>
  <c r="I7" i="77"/>
  <c r="E7" i="77"/>
  <c r="I6" i="77"/>
  <c r="E6" i="77"/>
  <c r="I5" i="77"/>
  <c r="E5" i="77"/>
  <c r="I4" i="77"/>
  <c r="E4" i="77"/>
  <c r="I3" i="77"/>
  <c r="E3" i="77"/>
  <c r="E9" i="75"/>
  <c r="E10" i="75"/>
  <c r="E9" i="58"/>
  <c r="I9" i="58"/>
  <c r="E17" i="50"/>
  <c r="I17" i="50"/>
  <c r="E12" i="41"/>
  <c r="I12" i="41"/>
  <c r="E11" i="41"/>
  <c r="I11" i="41"/>
  <c r="I16" i="75"/>
  <c r="E16" i="75"/>
  <c r="I15" i="75"/>
  <c r="E15" i="75"/>
  <c r="I14" i="75"/>
  <c r="E14" i="75"/>
  <c r="I13" i="75"/>
  <c r="E13" i="75"/>
  <c r="I12" i="75"/>
  <c r="E12" i="75"/>
  <c r="I11" i="75"/>
  <c r="E11" i="75"/>
  <c r="I9" i="75"/>
  <c r="I10" i="75"/>
  <c r="I8" i="75"/>
  <c r="E8" i="75"/>
  <c r="I7" i="75"/>
  <c r="E7" i="75"/>
  <c r="I6" i="75"/>
  <c r="E6" i="75"/>
  <c r="I5" i="75"/>
  <c r="E5" i="75"/>
  <c r="I4" i="75"/>
  <c r="E4" i="75"/>
  <c r="I3" i="75"/>
  <c r="E3" i="75"/>
  <c r="I13" i="74"/>
  <c r="I12" i="74"/>
  <c r="I11" i="74"/>
  <c r="I10" i="74"/>
  <c r="E11" i="74"/>
  <c r="E12" i="74"/>
  <c r="E13" i="74"/>
  <c r="E10" i="74"/>
  <c r="I19" i="74"/>
  <c r="E19" i="74"/>
  <c r="I18" i="74"/>
  <c r="E18" i="74"/>
  <c r="I17" i="74"/>
  <c r="E17" i="74"/>
  <c r="I16" i="74"/>
  <c r="E16" i="74"/>
  <c r="I15" i="74"/>
  <c r="E15" i="74"/>
  <c r="I14" i="74"/>
  <c r="E14" i="74"/>
  <c r="I8" i="74"/>
  <c r="E8" i="74"/>
  <c r="I7" i="74"/>
  <c r="E7" i="74"/>
  <c r="I6" i="74"/>
  <c r="E6" i="74"/>
  <c r="I3" i="74"/>
  <c r="E3" i="74"/>
  <c r="I5" i="74"/>
  <c r="E5" i="74"/>
  <c r="I4" i="74"/>
  <c r="E4" i="74"/>
  <c r="E10" i="73"/>
  <c r="I15" i="73"/>
  <c r="E15" i="73"/>
  <c r="I14" i="73"/>
  <c r="E14" i="73"/>
  <c r="I13" i="73"/>
  <c r="E13" i="73"/>
  <c r="I12" i="73"/>
  <c r="E12" i="73"/>
  <c r="I11" i="73"/>
  <c r="E11" i="73"/>
  <c r="I10" i="73"/>
  <c r="I9" i="73"/>
  <c r="E9" i="73"/>
  <c r="I8" i="73"/>
  <c r="E8" i="73"/>
  <c r="I7" i="73"/>
  <c r="E7" i="73"/>
  <c r="I6" i="73"/>
  <c r="E6" i="73"/>
  <c r="I5" i="73"/>
  <c r="E5" i="73"/>
  <c r="I4" i="73"/>
  <c r="E4" i="73"/>
  <c r="I3" i="73"/>
  <c r="E3" i="73"/>
  <c r="I16" i="72"/>
  <c r="E16" i="72"/>
  <c r="I15" i="72"/>
  <c r="E15" i="72"/>
  <c r="I14" i="72"/>
  <c r="E14" i="72"/>
  <c r="I13" i="72"/>
  <c r="E13" i="72"/>
  <c r="I12" i="72"/>
  <c r="E12" i="72"/>
  <c r="I11" i="72"/>
  <c r="E11" i="72"/>
  <c r="I10" i="72"/>
  <c r="E10" i="72"/>
  <c r="I9" i="72"/>
  <c r="E9" i="72"/>
  <c r="I8" i="72"/>
  <c r="E8" i="72"/>
  <c r="I7" i="72"/>
  <c r="E7" i="72"/>
  <c r="I6" i="72"/>
  <c r="E6" i="72"/>
  <c r="I5" i="72"/>
  <c r="E5" i="72"/>
  <c r="I4" i="72"/>
  <c r="E4" i="72"/>
  <c r="I3" i="72"/>
  <c r="E3" i="72"/>
  <c r="I16" i="71"/>
  <c r="E16" i="71"/>
  <c r="I15" i="71"/>
  <c r="E15" i="71"/>
  <c r="I14" i="71"/>
  <c r="E14" i="71"/>
  <c r="I13" i="71"/>
  <c r="E13" i="71"/>
  <c r="I12" i="71"/>
  <c r="E12" i="71"/>
  <c r="I11" i="71"/>
  <c r="E11" i="71"/>
  <c r="I10" i="71"/>
  <c r="E10" i="71"/>
  <c r="I9" i="71"/>
  <c r="E9" i="71"/>
  <c r="I8" i="71"/>
  <c r="E8" i="71"/>
  <c r="I7" i="71"/>
  <c r="E7" i="71"/>
  <c r="I6" i="71"/>
  <c r="E6" i="71"/>
  <c r="I5" i="71"/>
  <c r="E5" i="71"/>
  <c r="I4" i="71"/>
  <c r="E4" i="71"/>
  <c r="I3" i="71"/>
  <c r="E3" i="71"/>
  <c r="E7" i="66"/>
  <c r="I7" i="66"/>
  <c r="E10" i="50"/>
  <c r="I10" i="66"/>
  <c r="E10" i="66"/>
  <c r="I9" i="66"/>
  <c r="E9" i="66"/>
  <c r="I8" i="66"/>
  <c r="E8" i="66"/>
  <c r="I6" i="66"/>
  <c r="E6" i="66"/>
  <c r="I5" i="66"/>
  <c r="E5" i="66"/>
  <c r="I4" i="66"/>
  <c r="E4" i="66"/>
  <c r="I3" i="66"/>
  <c r="E3" i="66"/>
  <c r="E20" i="70"/>
  <c r="I20" i="70"/>
  <c r="E21" i="70"/>
  <c r="I21" i="70"/>
  <c r="E11" i="70"/>
  <c r="I11" i="70"/>
  <c r="E12" i="70"/>
  <c r="I12" i="70"/>
  <c r="E19" i="70"/>
  <c r="I19" i="70"/>
  <c r="E13" i="70"/>
  <c r="I13" i="70"/>
  <c r="I10" i="70"/>
  <c r="E10" i="70"/>
  <c r="I7" i="70"/>
  <c r="I6" i="70"/>
  <c r="I5" i="70"/>
  <c r="I25" i="70"/>
  <c r="E25" i="70"/>
  <c r="I24" i="70"/>
  <c r="E24" i="70"/>
  <c r="I23" i="70"/>
  <c r="E23" i="70"/>
  <c r="I22" i="70"/>
  <c r="E22" i="70"/>
  <c r="I9" i="70"/>
  <c r="E9" i="70"/>
  <c r="I8" i="70"/>
  <c r="E8" i="70"/>
  <c r="I4" i="70"/>
  <c r="E4" i="70"/>
  <c r="I3" i="70"/>
  <c r="E3" i="70"/>
  <c r="I11" i="44"/>
  <c r="E11" i="44"/>
  <c r="I15" i="69"/>
  <c r="E15" i="69"/>
  <c r="I14" i="69"/>
  <c r="E14" i="69"/>
  <c r="I13" i="69"/>
  <c r="E13" i="69"/>
  <c r="I12" i="69"/>
  <c r="E12" i="69"/>
  <c r="I11" i="69"/>
  <c r="I10" i="69"/>
  <c r="E10" i="69"/>
  <c r="I9" i="69"/>
  <c r="E9" i="69"/>
  <c r="I8" i="69"/>
  <c r="E8" i="69"/>
  <c r="I7" i="69"/>
  <c r="E7" i="69"/>
  <c r="I6" i="69"/>
  <c r="E6" i="69"/>
  <c r="I5" i="69"/>
  <c r="E5" i="69"/>
  <c r="I4" i="69"/>
  <c r="E4" i="69"/>
  <c r="I3" i="69"/>
  <c r="E3" i="69"/>
  <c r="I12" i="50"/>
  <c r="E12" i="50"/>
  <c r="I10" i="63"/>
  <c r="E10" i="63"/>
  <c r="I15" i="63"/>
  <c r="E15" i="63"/>
  <c r="I14" i="63"/>
  <c r="E14" i="63"/>
  <c r="I13" i="63"/>
  <c r="E13" i="63"/>
  <c r="I12" i="63"/>
  <c r="E12" i="63"/>
  <c r="I11" i="63"/>
  <c r="E11" i="63"/>
  <c r="I9" i="63"/>
  <c r="E9" i="63"/>
  <c r="I8" i="63"/>
  <c r="E8" i="63"/>
  <c r="I7" i="63"/>
  <c r="E7" i="63"/>
  <c r="I6" i="63"/>
  <c r="E6" i="63"/>
  <c r="I5" i="63"/>
  <c r="E5" i="63"/>
  <c r="I4" i="63"/>
  <c r="E4" i="63"/>
  <c r="I3" i="63"/>
  <c r="E3" i="63"/>
  <c r="I10" i="58"/>
  <c r="E10" i="58"/>
  <c r="I13" i="62"/>
  <c r="E13" i="62"/>
  <c r="I17" i="62"/>
  <c r="E17" i="62"/>
  <c r="I16" i="62"/>
  <c r="E16" i="62"/>
  <c r="I15" i="62"/>
  <c r="E15" i="62"/>
  <c r="I14" i="62"/>
  <c r="E14" i="62"/>
  <c r="I12" i="62"/>
  <c r="E12" i="62"/>
  <c r="I11" i="62"/>
  <c r="E11" i="62"/>
  <c r="I10" i="62"/>
  <c r="E10" i="62"/>
  <c r="I9" i="62"/>
  <c r="E9" i="62"/>
  <c r="I8" i="62"/>
  <c r="E8" i="62"/>
  <c r="I7" i="62"/>
  <c r="E7" i="62"/>
  <c r="I6" i="62"/>
  <c r="E6" i="62"/>
  <c r="I5" i="62"/>
  <c r="E5" i="62"/>
  <c r="I4" i="62"/>
  <c r="E4" i="62"/>
  <c r="I3" i="62"/>
  <c r="E3" i="62"/>
  <c r="I9" i="61"/>
  <c r="E9" i="61"/>
  <c r="E12" i="59"/>
  <c r="I16" i="61"/>
  <c r="E16" i="61"/>
  <c r="I15" i="61"/>
  <c r="E15" i="61"/>
  <c r="I14" i="61"/>
  <c r="E14" i="61"/>
  <c r="I13" i="61"/>
  <c r="E13" i="61"/>
  <c r="I12" i="61"/>
  <c r="E12" i="61"/>
  <c r="I11" i="61"/>
  <c r="E11" i="61"/>
  <c r="I10" i="61"/>
  <c r="E10" i="61"/>
  <c r="I8" i="61"/>
  <c r="E8" i="61"/>
  <c r="I7" i="61"/>
  <c r="E7" i="61"/>
  <c r="I6" i="61"/>
  <c r="E6" i="61"/>
  <c r="I5" i="61"/>
  <c r="E5" i="61"/>
  <c r="I4" i="61"/>
  <c r="E4" i="61"/>
  <c r="I3" i="61"/>
  <c r="E3" i="61"/>
  <c r="I16" i="59"/>
  <c r="E16" i="59"/>
  <c r="I15" i="59"/>
  <c r="E15" i="59"/>
  <c r="I14" i="59"/>
  <c r="E14" i="59"/>
  <c r="I13" i="59"/>
  <c r="E13" i="59"/>
  <c r="I12" i="59"/>
  <c r="I11" i="59"/>
  <c r="E11" i="59"/>
  <c r="I10" i="59"/>
  <c r="E10" i="59"/>
  <c r="I9" i="59"/>
  <c r="E9" i="59"/>
  <c r="I8" i="59"/>
  <c r="E8" i="59"/>
  <c r="I7" i="59"/>
  <c r="E7" i="59"/>
  <c r="I6" i="59"/>
  <c r="E6" i="59"/>
  <c r="I5" i="59"/>
  <c r="E5" i="59"/>
  <c r="I4" i="59"/>
  <c r="E4" i="59"/>
  <c r="I3" i="59"/>
  <c r="E3" i="59"/>
  <c r="I10" i="60"/>
  <c r="E10" i="60"/>
  <c r="I16" i="60"/>
  <c r="E16" i="60"/>
  <c r="I15" i="60"/>
  <c r="E15" i="60"/>
  <c r="I14" i="60"/>
  <c r="E14" i="60"/>
  <c r="I13" i="60"/>
  <c r="E13" i="60"/>
  <c r="I12" i="60"/>
  <c r="E12" i="60"/>
  <c r="I11" i="60"/>
  <c r="E11" i="60"/>
  <c r="I9" i="60"/>
  <c r="E9" i="60"/>
  <c r="I8" i="60"/>
  <c r="E8" i="60"/>
  <c r="I7" i="60"/>
  <c r="E7" i="60"/>
  <c r="I6" i="60"/>
  <c r="E6" i="60"/>
  <c r="I5" i="60"/>
  <c r="E5" i="60"/>
  <c r="I4" i="60"/>
  <c r="E4" i="60"/>
  <c r="I3" i="60"/>
  <c r="E3" i="60"/>
  <c r="I17" i="58"/>
  <c r="E17" i="58"/>
  <c r="I16" i="58"/>
  <c r="E16" i="58"/>
  <c r="I15" i="58"/>
  <c r="E15" i="58"/>
  <c r="I14" i="58"/>
  <c r="E14" i="58"/>
  <c r="I13" i="58"/>
  <c r="E13" i="58"/>
  <c r="I12" i="58"/>
  <c r="E12" i="58"/>
  <c r="I11" i="58"/>
  <c r="E11" i="58"/>
  <c r="I8" i="58"/>
  <c r="E8" i="58"/>
  <c r="I7" i="58"/>
  <c r="E7" i="58"/>
  <c r="I6" i="58"/>
  <c r="E6" i="58"/>
  <c r="I5" i="58"/>
  <c r="E5" i="58"/>
  <c r="I4" i="58"/>
  <c r="E4" i="58"/>
  <c r="I3" i="58"/>
  <c r="E3" i="58"/>
  <c r="I24" i="53"/>
  <c r="E24" i="53"/>
  <c r="I23" i="53"/>
  <c r="E23" i="53"/>
  <c r="I22" i="53"/>
  <c r="E22" i="53"/>
  <c r="I21" i="53"/>
  <c r="E21" i="53"/>
  <c r="I20" i="53"/>
  <c r="E20" i="53"/>
  <c r="I11" i="53"/>
  <c r="E11" i="53"/>
  <c r="I10" i="53"/>
  <c r="E10" i="53"/>
  <c r="I9" i="53"/>
  <c r="E9" i="53"/>
  <c r="I8" i="53"/>
  <c r="E8" i="53"/>
  <c r="I7" i="53"/>
  <c r="E7" i="53"/>
  <c r="I6" i="53"/>
  <c r="E6" i="53"/>
  <c r="I5" i="53"/>
  <c r="E5" i="53"/>
  <c r="I4" i="53"/>
  <c r="E4" i="53"/>
  <c r="I3" i="53"/>
  <c r="E3" i="53"/>
  <c r="I15" i="56"/>
  <c r="E15" i="56"/>
  <c r="I14" i="56"/>
  <c r="E14" i="56"/>
  <c r="I13" i="56"/>
  <c r="E13" i="56"/>
  <c r="I12" i="56"/>
  <c r="E12" i="56"/>
  <c r="I11" i="56"/>
  <c r="E11" i="56"/>
  <c r="I10" i="56"/>
  <c r="E10" i="56"/>
  <c r="I9" i="56"/>
  <c r="E9" i="56"/>
  <c r="I8" i="56"/>
  <c r="E8" i="56"/>
  <c r="I7" i="56"/>
  <c r="E7" i="56"/>
  <c r="I6" i="56"/>
  <c r="E6" i="56"/>
  <c r="I5" i="56"/>
  <c r="E5" i="56"/>
  <c r="I4" i="56"/>
  <c r="E4" i="56"/>
  <c r="I3" i="56"/>
  <c r="E3" i="56"/>
  <c r="I15" i="51"/>
  <c r="E15" i="51"/>
  <c r="I14" i="51"/>
  <c r="E14" i="51"/>
  <c r="I13" i="51"/>
  <c r="E13" i="51"/>
  <c r="I12" i="51"/>
  <c r="E12" i="51"/>
  <c r="I11" i="51"/>
  <c r="E11" i="51"/>
  <c r="I10" i="51"/>
  <c r="E10" i="51"/>
  <c r="I9" i="51"/>
  <c r="E9" i="51"/>
  <c r="I8" i="51"/>
  <c r="E8" i="51"/>
  <c r="I7" i="51"/>
  <c r="E7" i="51"/>
  <c r="I6" i="51"/>
  <c r="E6" i="51"/>
  <c r="I5" i="51"/>
  <c r="E5" i="51"/>
  <c r="I4" i="51"/>
  <c r="E4" i="51"/>
  <c r="I3" i="51"/>
  <c r="E3" i="51"/>
  <c r="I21" i="50"/>
  <c r="E21" i="50"/>
  <c r="I20" i="50"/>
  <c r="E20" i="50"/>
  <c r="I19" i="50"/>
  <c r="E19" i="50"/>
  <c r="I18" i="50"/>
  <c r="I11" i="50"/>
  <c r="E11" i="50"/>
  <c r="I9" i="50"/>
  <c r="E9" i="50"/>
  <c r="I8" i="50"/>
  <c r="E8" i="50"/>
  <c r="I7" i="50"/>
  <c r="E7" i="50"/>
  <c r="I6" i="50"/>
  <c r="E6" i="50"/>
  <c r="I5" i="50"/>
  <c r="E5" i="50"/>
  <c r="I4" i="50"/>
  <c r="E4" i="50"/>
  <c r="I3" i="50"/>
  <c r="E3" i="50"/>
  <c r="I10" i="42"/>
  <c r="I12" i="42"/>
  <c r="I13" i="42"/>
  <c r="I14" i="42"/>
  <c r="E12" i="42"/>
  <c r="E14" i="42"/>
  <c r="E10" i="42"/>
  <c r="I16" i="48"/>
  <c r="E16" i="48"/>
  <c r="I15" i="48"/>
  <c r="E15" i="48"/>
  <c r="I14" i="48"/>
  <c r="E14" i="48"/>
  <c r="I13" i="48"/>
  <c r="E13" i="48"/>
  <c r="I12" i="48"/>
  <c r="E12" i="48"/>
  <c r="I11" i="48"/>
  <c r="E11" i="48"/>
  <c r="I10" i="48"/>
  <c r="E10" i="48"/>
  <c r="I9" i="48"/>
  <c r="E9" i="48"/>
  <c r="I8" i="48"/>
  <c r="E8" i="48"/>
  <c r="I7" i="48"/>
  <c r="E7" i="48"/>
  <c r="I6" i="48"/>
  <c r="E6" i="48"/>
  <c r="I5" i="48"/>
  <c r="E5" i="48"/>
  <c r="I4" i="48"/>
  <c r="E4" i="48"/>
  <c r="I3" i="48"/>
  <c r="E3" i="48"/>
  <c r="C7" i="44"/>
  <c r="D7" i="44"/>
  <c r="I9" i="44"/>
  <c r="E9" i="44"/>
  <c r="I16" i="44"/>
  <c r="E16" i="44"/>
  <c r="I15" i="44"/>
  <c r="E15" i="44"/>
  <c r="I14" i="44"/>
  <c r="E14" i="44"/>
  <c r="I13" i="44"/>
  <c r="E13" i="44"/>
  <c r="I12" i="44"/>
  <c r="E12" i="44"/>
  <c r="I10" i="44"/>
  <c r="E10" i="44"/>
  <c r="I8" i="44"/>
  <c r="E8" i="44"/>
  <c r="I7" i="44"/>
  <c r="E7" i="44"/>
  <c r="I6" i="44"/>
  <c r="E6" i="44"/>
  <c r="I5" i="44"/>
  <c r="E5" i="44"/>
  <c r="I4" i="44"/>
  <c r="E4" i="44"/>
  <c r="I3" i="44"/>
  <c r="E3" i="44"/>
  <c r="I18" i="42"/>
  <c r="E18" i="42"/>
  <c r="I17" i="42"/>
  <c r="E17" i="42"/>
  <c r="I16" i="42"/>
  <c r="E16" i="42"/>
  <c r="I15" i="42"/>
  <c r="E15" i="42"/>
  <c r="E13" i="42"/>
  <c r="I9" i="42"/>
  <c r="E9" i="42"/>
  <c r="I8" i="42"/>
  <c r="E8" i="42"/>
  <c r="I7" i="42"/>
  <c r="E7" i="42"/>
  <c r="I6" i="42"/>
  <c r="E6" i="42"/>
  <c r="I5" i="42"/>
  <c r="E5" i="42"/>
  <c r="I4" i="42"/>
  <c r="E4" i="42"/>
  <c r="I3" i="42"/>
  <c r="E3" i="42"/>
  <c r="I19" i="41"/>
  <c r="E19" i="41"/>
  <c r="I18" i="41"/>
  <c r="E18" i="41"/>
  <c r="I17" i="41"/>
  <c r="E17" i="41"/>
  <c r="I16" i="41"/>
  <c r="E16" i="41"/>
  <c r="I15" i="41"/>
  <c r="E15" i="41"/>
  <c r="I14" i="41"/>
  <c r="E14" i="41"/>
  <c r="I10" i="41"/>
  <c r="E10" i="41"/>
  <c r="I9" i="41"/>
  <c r="E9" i="41"/>
  <c r="I8" i="41"/>
  <c r="E8" i="41"/>
  <c r="I7" i="41"/>
  <c r="E7" i="41"/>
  <c r="I6" i="41"/>
  <c r="E6" i="41"/>
  <c r="I5" i="41"/>
  <c r="E5" i="41"/>
  <c r="I4" i="41"/>
  <c r="E4" i="41"/>
  <c r="I3" i="41"/>
  <c r="E3" i="41"/>
  <c r="I18" i="1"/>
  <c r="D29" i="1"/>
  <c r="D21" i="1"/>
  <c r="D16" i="1"/>
  <c r="D12" i="1"/>
  <c r="C12" i="1"/>
  <c r="E4" i="1"/>
  <c r="E6" i="1"/>
  <c r="E7" i="1"/>
  <c r="E9" i="1"/>
  <c r="E10" i="1"/>
  <c r="E11" i="1"/>
  <c r="E13" i="1"/>
  <c r="E14" i="1"/>
  <c r="E15" i="1"/>
  <c r="E17" i="1"/>
  <c r="E19" i="1"/>
  <c r="E20" i="1"/>
  <c r="E22" i="1"/>
  <c r="E23" i="1"/>
  <c r="E24" i="1"/>
  <c r="E25" i="1"/>
  <c r="E26" i="1"/>
  <c r="E27" i="1"/>
  <c r="E28" i="1"/>
  <c r="E30" i="1"/>
  <c r="E34" i="1"/>
  <c r="E35" i="1"/>
  <c r="E3" i="1"/>
  <c r="I22" i="1"/>
  <c r="I13" i="1"/>
  <c r="I14" i="1"/>
  <c r="I15" i="1"/>
  <c r="I17" i="1"/>
  <c r="I19" i="1"/>
  <c r="I20" i="1"/>
  <c r="I23" i="1"/>
  <c r="I24" i="1"/>
  <c r="I25" i="1"/>
  <c r="I26" i="1"/>
  <c r="I27" i="1"/>
  <c r="I28" i="1"/>
  <c r="I30" i="1"/>
  <c r="I34" i="1"/>
  <c r="I35" i="1"/>
  <c r="I4" i="1"/>
  <c r="I6" i="1"/>
  <c r="I7" i="1"/>
  <c r="I9" i="1"/>
  <c r="I10" i="1"/>
  <c r="I11" i="1"/>
  <c r="C29" i="1"/>
  <c r="C21" i="1"/>
  <c r="C16" i="1"/>
  <c r="I29" i="1"/>
  <c r="I21" i="1"/>
  <c r="I16" i="1"/>
  <c r="E12" i="1"/>
  <c r="E21" i="1"/>
  <c r="E29" i="1"/>
  <c r="E16" i="1"/>
  <c r="I12" i="1"/>
  <c r="C8" i="1"/>
  <c r="I8" i="1"/>
  <c r="E8" i="1"/>
  <c r="I3" i="1"/>
</calcChain>
</file>

<file path=xl/sharedStrings.xml><?xml version="1.0" encoding="utf-8"?>
<sst xmlns="http://schemas.openxmlformats.org/spreadsheetml/2006/main" count="1753" uniqueCount="310">
  <si>
    <t>Concurso</t>
  </si>
  <si>
    <t>Secuencia / Pasos</t>
  </si>
  <si>
    <t>Fecha de inicio</t>
  </si>
  <si>
    <t>Fecha de fin</t>
  </si>
  <si>
    <t>Duración (días)</t>
  </si>
  <si>
    <t>Completo</t>
  </si>
  <si>
    <t>Responsable</t>
  </si>
  <si>
    <t>Observaciones</t>
  </si>
  <si>
    <t>Status</t>
  </si>
  <si>
    <t>Concurso A</t>
  </si>
  <si>
    <t>Realización de cronograma</t>
  </si>
  <si>
    <t>✅</t>
  </si>
  <si>
    <t>Alta de concurso en CRM</t>
  </si>
  <si>
    <t>No</t>
  </si>
  <si>
    <t>Alta en lista de formularios de CRM</t>
  </si>
  <si>
    <t>Lista de participantes por parte de la carrera</t>
  </si>
  <si>
    <t>Llenado de formulario IBERO (CRM)</t>
  </si>
  <si>
    <t>Realización y pago de registro</t>
  </si>
  <si>
    <t>Cita de registro</t>
  </si>
  <si>
    <t>Cierre de registro real</t>
  </si>
  <si>
    <t>Acompañamiento en realización de trabajo</t>
  </si>
  <si>
    <t>Entrega de trabajo real</t>
  </si>
  <si>
    <t>Digital</t>
  </si>
  <si>
    <t>Mensajería</t>
  </si>
  <si>
    <t>Publicación de resultados preliminares</t>
  </si>
  <si>
    <t>Preparación en exposición</t>
  </si>
  <si>
    <t>Conseguir docentes</t>
  </si>
  <si>
    <t>Trámite de pago docente</t>
  </si>
  <si>
    <t>Pago de docentes</t>
  </si>
  <si>
    <t>Sesiones (4)</t>
  </si>
  <si>
    <t>Viaje</t>
  </si>
  <si>
    <t>Llenado de formulario de viaje</t>
  </si>
  <si>
    <t>Junta previa</t>
  </si>
  <si>
    <t>Tramitar seguros</t>
  </si>
  <si>
    <t>Compra de boletos</t>
  </si>
  <si>
    <t>Compra de hospedaje</t>
  </si>
  <si>
    <t>Monitoreo de viaje</t>
  </si>
  <si>
    <t>Publicación de resultados finales</t>
  </si>
  <si>
    <t>Difusión</t>
  </si>
  <si>
    <t>Entrevista para nota de prensa</t>
  </si>
  <si>
    <t xml:space="preserve">Micrositio </t>
  </si>
  <si>
    <t>Fotos y bandera en carpeta de ganadores</t>
  </si>
  <si>
    <t>Ligas DCI</t>
  </si>
  <si>
    <t>Publicación en medios y redes</t>
  </si>
  <si>
    <t>Anuncios para colegios</t>
  </si>
  <si>
    <t xml:space="preserve">Huawei Innovation Competition </t>
  </si>
  <si>
    <t>Realización de registro</t>
  </si>
  <si>
    <t xml:space="preserve"> </t>
  </si>
  <si>
    <t>Trabajo</t>
  </si>
  <si>
    <t>Sesiones preparativas</t>
  </si>
  <si>
    <t>Etapa nacional</t>
  </si>
  <si>
    <t>Etapa regional (latinoamerica)</t>
  </si>
  <si>
    <t>Etapa Global</t>
  </si>
  <si>
    <t>Tentativo</t>
  </si>
  <si>
    <t>Tentaivo</t>
  </si>
  <si>
    <t>Entre vista para nota de prensa</t>
  </si>
  <si>
    <t>Contacto</t>
  </si>
  <si>
    <t>Joel Arango /Antonio Cardeña</t>
  </si>
  <si>
    <t>Control formulario Huawei Innovation Competition 2025.xlsx</t>
  </si>
  <si>
    <t xml:space="preserve">Architecture Student Contest 2026 </t>
  </si>
  <si>
    <t>Entrega de trabajo nacional</t>
  </si>
  <si>
    <t>Competencia México</t>
  </si>
  <si>
    <t>Concurso Internacional fecha límite</t>
  </si>
  <si>
    <t>Final Presencial</t>
  </si>
  <si>
    <t>Víctor Arvizu Piña</t>
  </si>
  <si>
    <t>ok formulario Ibero</t>
  </si>
  <si>
    <t>Control formulario Architecture Contest (Saint Gobain).xlsx</t>
  </si>
  <si>
    <t>Cierre registro real</t>
  </si>
  <si>
    <t>Resultados finales</t>
  </si>
  <si>
    <t>Fotos y bandera en carpeta y archivo de ganadores</t>
  </si>
  <si>
    <t>Pantalla</t>
  </si>
  <si>
    <t>ok todos</t>
  </si>
  <si>
    <t xml:space="preserve">Mathematical 2026 </t>
  </si>
  <si>
    <t>Mathematical 2026</t>
  </si>
  <si>
    <t>Entrega de trabajo (límite)</t>
  </si>
  <si>
    <t xml:space="preserve">Salir en redes </t>
  </si>
  <si>
    <t>Carla Victoria Valencia Negrete</t>
  </si>
  <si>
    <t>Carlos Francisco Betancourt Moreno</t>
  </si>
  <si>
    <t>Mathematical Modeling 2026.xlsx</t>
  </si>
  <si>
    <t>Philosophy Essay Prize 2025</t>
  </si>
  <si>
    <t>Hacer grupo de WhatsApp</t>
  </si>
  <si>
    <t>Resultados</t>
  </si>
  <si>
    <t>Estimado : primavera 2026</t>
  </si>
  <si>
    <t>Paco Torres</t>
  </si>
  <si>
    <t>Control Philosophy</t>
  </si>
  <si>
    <t>Control formulario Philosophy Essay.xlsx</t>
  </si>
  <si>
    <t>Toyota Logistic Design Competition 2026</t>
  </si>
  <si>
    <t>Revisión registro</t>
  </si>
  <si>
    <t>Crear grupo WhatsApp</t>
  </si>
  <si>
    <t>Resultados preliminares</t>
  </si>
  <si>
    <t>Resultado siguiente fase</t>
  </si>
  <si>
    <t>Armando Mercado</t>
  </si>
  <si>
    <t xml:space="preserve">226044 - 5           FLORES RODRIGUEZ AUGUSTO    </t>
  </si>
  <si>
    <t>Premio AMIS 2026</t>
  </si>
  <si>
    <t>Claudia Arruñada</t>
  </si>
  <si>
    <t>Control formulario AMIS 2026.xlsx</t>
  </si>
  <si>
    <t>Animayo 2026</t>
  </si>
  <si>
    <t>Fechas desde regsitro</t>
  </si>
  <si>
    <t>Mes de abril</t>
  </si>
  <si>
    <t>Elizabeth Hernández</t>
  </si>
  <si>
    <t>alerta de resultados Correo Pau</t>
  </si>
  <si>
    <t>CPS Lot 2026</t>
  </si>
  <si>
    <t>Entrega de video</t>
  </si>
  <si>
    <t>Juan Camilo Tejada</t>
  </si>
  <si>
    <t>Control CPS 2026.xlsx</t>
  </si>
  <si>
    <t>Se le aviso a Juan Camilo que no lo buscaremos hasta cerca de fecha de entrega, se le pdió el nombre de los trabajos</t>
  </si>
  <si>
    <t>Pavilion 2026</t>
  </si>
  <si>
    <t>Invoice</t>
  </si>
  <si>
    <t>Fecha para Rafael</t>
  </si>
  <si>
    <t>Límite preguntas a organizadores</t>
  </si>
  <si>
    <t>Entrega trabajos</t>
  </si>
  <si>
    <t>Anuncia ganadores</t>
  </si>
  <si>
    <t>Jimena de Gortari</t>
  </si>
  <si>
    <t>Rafael Ortiz (otro concurso Buildner)</t>
  </si>
  <si>
    <t>Control Registro Pavilion 2026.xlsx</t>
  </si>
  <si>
    <t>Rafa Ortiz mandará la infromación del Concurso Gallo, menciona que lo contactemos despupes de que lo haga . No tiene dudas de Pavilion</t>
  </si>
  <si>
    <t>Caracol de plata 2026</t>
  </si>
  <si>
    <t>Fecha límite real</t>
  </si>
  <si>
    <t>Anuncio  semifinalistas</t>
  </si>
  <si>
    <t>Mes de junio</t>
  </si>
  <si>
    <t>Ceremonia de premiación</t>
  </si>
  <si>
    <t>Mes de agosto</t>
  </si>
  <si>
    <t>Mtra. Tahiana Adrián</t>
  </si>
  <si>
    <t>Tahiana23@gmail.com</t>
  </si>
  <si>
    <t>ok formularios</t>
  </si>
  <si>
    <t>Mtro. Álvaro Carvajal</t>
  </si>
  <si>
    <t>alvaro@naubrands.com</t>
  </si>
  <si>
    <t xml:space="preserve">Mtro. Iván Jiménez </t>
  </si>
  <si>
    <t>ivan@grupohorma.com</t>
  </si>
  <si>
    <t>Mtra. Nieves Corro</t>
  </si>
  <si>
    <t>P40056@correo.uia.mx</t>
  </si>
  <si>
    <t>ok formualrios</t>
  </si>
  <si>
    <t>Control formulario Caracol de Plata 2026.xlsx</t>
  </si>
  <si>
    <t>se envió correo a los docentes para que suban trabajos</t>
  </si>
  <si>
    <t>Annecy 2026</t>
  </si>
  <si>
    <t>Festival</t>
  </si>
  <si>
    <t>Checar cuando se sabe si participarán</t>
  </si>
  <si>
    <t>Elizabeth Hernández Rosas</t>
  </si>
  <si>
    <t>ok crm</t>
  </si>
  <si>
    <t>alerta de resultados correo Pau</t>
  </si>
  <si>
    <t>Sport Fit Awards 2026</t>
  </si>
  <si>
    <t>Fecha real de cierre de registro</t>
  </si>
  <si>
    <t>Tentativa tomada de 2025</t>
  </si>
  <si>
    <t>Guillermo León Ramírez Martínez</t>
  </si>
  <si>
    <t>L´Oréal 2026</t>
  </si>
  <si>
    <t>Resultados Nacionales</t>
  </si>
  <si>
    <t>Tentativa mayo</t>
  </si>
  <si>
    <t>Competencia Internacional</t>
  </si>
  <si>
    <t>Tentativa junio</t>
  </si>
  <si>
    <t xml:space="preserve">Vale Verdejo </t>
  </si>
  <si>
    <t>Control L' Oréal.xlsx</t>
  </si>
  <si>
    <t>OK FORMUKARIO CRM</t>
  </si>
  <si>
    <t>Loyola 2026</t>
  </si>
  <si>
    <t>Competencia en línea</t>
  </si>
  <si>
    <t>Anuncio ganadores</t>
  </si>
  <si>
    <t>Vanessa González</t>
  </si>
  <si>
    <t>Claudia Florín</t>
  </si>
  <si>
    <t>Daniel Smith</t>
  </si>
  <si>
    <t>Control Loyola Marymount 2026.xlsx</t>
  </si>
  <si>
    <t>Simulación en Logística 2026</t>
  </si>
  <si>
    <t>Inicio y liberación del caso</t>
  </si>
  <si>
    <t xml:space="preserve">Entrega final del caso </t>
  </si>
  <si>
    <t>Evento presencial, buscar dato</t>
  </si>
  <si>
    <t>Orosfelia Sánchez</t>
  </si>
  <si>
    <t>Alerta de resultados correo Pau</t>
  </si>
  <si>
    <t>Interamericano de Derechos Humanos 2026</t>
  </si>
  <si>
    <t>Liberación de caso</t>
  </si>
  <si>
    <t>Publicación oficial del caso</t>
  </si>
  <si>
    <t>Inicio de regsitros hospedaje</t>
  </si>
  <si>
    <t>Aclaraciones del caso</t>
  </si>
  <si>
    <t xml:space="preserve">Límite para la recepción del Memorial </t>
  </si>
  <si>
    <t>Límite para la inscripción de Oficiales y Observadores de Corte</t>
  </si>
  <si>
    <t>Límite para la inscripción de Jueces</t>
  </si>
  <si>
    <t>Junta previa (deslindes, playeras)</t>
  </si>
  <si>
    <t>Entrega de banderas en préstamo</t>
  </si>
  <si>
    <t>Seguros</t>
  </si>
  <si>
    <t>Registro, entrenamiento de Oficiales de Corte y ceremonia de apertura</t>
  </si>
  <si>
    <t>Rondas orales</t>
  </si>
  <si>
    <t xml:space="preserve">Luis Carranca </t>
  </si>
  <si>
    <t>Formulario CRM ok</t>
  </si>
  <si>
    <t>Micrositio</t>
  </si>
  <si>
    <t>Video Pantalla explanada</t>
  </si>
  <si>
    <t>Berlin Indie Film Festival 2026</t>
  </si>
  <si>
    <t>Liga DCI</t>
  </si>
  <si>
    <t>Fernando Moreno</t>
  </si>
  <si>
    <t>Chilemonos 2026</t>
  </si>
  <si>
    <t>Chilemonos 2027</t>
  </si>
  <si>
    <t>Chilemonos 2028</t>
  </si>
  <si>
    <t>Chilemonos 2029</t>
  </si>
  <si>
    <t>Chilemonos 2030</t>
  </si>
  <si>
    <t>Chilemonos 2031</t>
  </si>
  <si>
    <t>Chilemonos 2032</t>
  </si>
  <si>
    <t>Chilemonos 2033</t>
  </si>
  <si>
    <t>Chilemonos 2034</t>
  </si>
  <si>
    <t>Chilemonos 2035</t>
  </si>
  <si>
    <t>Chilemonos 2036</t>
  </si>
  <si>
    <t>Chilemonos 2037</t>
  </si>
  <si>
    <t>Chilemonos 2038</t>
  </si>
  <si>
    <t>Chilemonos 2039</t>
  </si>
  <si>
    <t>ok CRM</t>
  </si>
  <si>
    <t>Creative Comunication Awards (C2A) 2026</t>
  </si>
  <si>
    <t>Creative Comunication Awards (C2A) 2027</t>
  </si>
  <si>
    <t>Creative Comunication Awards (C2A) 2028</t>
  </si>
  <si>
    <t>Creative Comunication Awards (C2A) 2029</t>
  </si>
  <si>
    <t>Creative Comunication Awards (C2A) 2030</t>
  </si>
  <si>
    <t>Creative Comunication Awards (C2A) 2031</t>
  </si>
  <si>
    <t>Creative Comunication Awards (C2A) 2032</t>
  </si>
  <si>
    <t>Creative Comunication Awards (C2A) 2033</t>
  </si>
  <si>
    <t>Creative Comunication Awards (C2A) 2034</t>
  </si>
  <si>
    <t>Publicación de resultados</t>
  </si>
  <si>
    <t>Buscar , no hay datos</t>
  </si>
  <si>
    <t>Creative Comunication Awards (C2A) 2035</t>
  </si>
  <si>
    <t>Creative Comunication Awards (C2A) 2036</t>
  </si>
  <si>
    <t>Creative Comunication Awards (C2A) 2037</t>
  </si>
  <si>
    <t>Creative Comunication Awards (C2A) 2038</t>
  </si>
  <si>
    <t>Creative Comunication Awards (C2A) 2039</t>
  </si>
  <si>
    <t>autorización 4 trabajos por carrera</t>
  </si>
  <si>
    <t>Trabajos de C2A de Ficciones pagados, falta una alumna en CRM</t>
  </si>
  <si>
    <t>Sensorial se pidieron usuarios y passwords y que elijan los 4 trabajos que participan</t>
  </si>
  <si>
    <t>Punto de partida  2026</t>
  </si>
  <si>
    <t>Punto de partida  2027</t>
  </si>
  <si>
    <t>Punto de partida  2028</t>
  </si>
  <si>
    <t>Punto de partida  2029</t>
  </si>
  <si>
    <t>Punto de partida  2030</t>
  </si>
  <si>
    <t>Punto de partida  2031</t>
  </si>
  <si>
    <t>Punto de partida  2032</t>
  </si>
  <si>
    <t>Punto de partida  2033</t>
  </si>
  <si>
    <t>Punto de partida  2034</t>
  </si>
  <si>
    <t>Revisar, tentativo junio</t>
  </si>
  <si>
    <t>Punto de partida  2036</t>
  </si>
  <si>
    <t>Punto de partida  2037</t>
  </si>
  <si>
    <t>Punto de partida  2038</t>
  </si>
  <si>
    <t>Punto de partida  2039</t>
  </si>
  <si>
    <t>Sandra Vera</t>
  </si>
  <si>
    <t>Control Punto de partida 2026.xlsx</t>
  </si>
  <si>
    <t>Alerta resultados correo concursos</t>
  </si>
  <si>
    <t>IEOM 2026</t>
  </si>
  <si>
    <t>Cotización vuelos</t>
  </si>
  <si>
    <t>Cotización Hospedaje</t>
  </si>
  <si>
    <t>Junta previa (firma deslindes)</t>
  </si>
  <si>
    <t>Congreso y competencia</t>
  </si>
  <si>
    <t>USA Milwaukee</t>
  </si>
  <si>
    <t>Erick Torres</t>
  </si>
  <si>
    <t>Bee2Be 2026</t>
  </si>
  <si>
    <t>Fecha límite real pago y registro</t>
  </si>
  <si>
    <t>Publicación finalistas</t>
  </si>
  <si>
    <t>Guillermo León Ramírez</t>
  </si>
  <si>
    <t>Publicación resultados</t>
  </si>
  <si>
    <t>CFA Ethics 2026</t>
  </si>
  <si>
    <t>Registro real</t>
  </si>
  <si>
    <t>Kick off</t>
  </si>
  <si>
    <t>Presentaciones finales</t>
  </si>
  <si>
    <t>Horario 8:00h</t>
  </si>
  <si>
    <t>Luis Carlos Oseguera</t>
  </si>
  <si>
    <t>Luis Carlos regustra al equipo, posteriomente vermos formualrio de CRM</t>
  </si>
  <si>
    <t>Festival de la creatividad  2026</t>
  </si>
  <si>
    <t>Premiación / Gala virtual</t>
  </si>
  <si>
    <t>Hay gala virtual y presencial (noviembre)</t>
  </si>
  <si>
    <t>Silvia Josefina González Martínez y Tahiana Adrián</t>
  </si>
  <si>
    <t>Control formulario FIAP 2026.xlsx</t>
  </si>
  <si>
    <t>Silvia</t>
  </si>
  <si>
    <t>Se le envio liga de hoja de control</t>
  </si>
  <si>
    <t>Tahiana</t>
  </si>
  <si>
    <t>Se le dio la información por WhatsApp/ usará la fecha limite de junio</t>
  </si>
  <si>
    <t>Nocturne Drone Race IPN 2026</t>
  </si>
  <si>
    <t>Solicitud de camioneta viaje Puebla</t>
  </si>
  <si>
    <t>Reserva de hospedaje</t>
  </si>
  <si>
    <t>Solicitud de seguros</t>
  </si>
  <si>
    <t>Carrera de drones</t>
  </si>
  <si>
    <t>Tabla DCI</t>
  </si>
  <si>
    <t>Mario Ramírez</t>
  </si>
  <si>
    <t>Están clasificados ala fase Regional, se le escribió a Joel para saber fecha, y a Antonio Cardeña para conseguir jueves en inglés.</t>
  </si>
  <si>
    <t>Tentativo (entre 20 y 22 de abril)</t>
  </si>
  <si>
    <t>Se le mandó correo en espera de equipo elegido</t>
  </si>
  <si>
    <t>Banderas y playera</t>
  </si>
  <si>
    <t>Deslindes y uso imagen</t>
  </si>
  <si>
    <t>Final</t>
  </si>
  <si>
    <t>ok formualio CRM</t>
  </si>
  <si>
    <t>Alerta resultados correo César</t>
  </si>
  <si>
    <t>Georgina Durán</t>
  </si>
  <si>
    <t>ok  formulario de CRM</t>
  </si>
  <si>
    <t xml:space="preserve">Se pagaron 10 regsitros y en abril se subirán los trabajos </t>
  </si>
  <si>
    <t>Se le pidió a Guillermo lista</t>
  </si>
  <si>
    <t>Hospedaje</t>
  </si>
  <si>
    <t>Definir número exacto</t>
  </si>
  <si>
    <t>Hospedaje lo paga DAETU</t>
  </si>
  <si>
    <t>Camioneta Ibero (gasolina casetas)</t>
  </si>
  <si>
    <t>Claudia avisió que ya puso alumnos en taba y que están trabajando en los proyectos</t>
  </si>
  <si>
    <t>Lit Light Design  2026</t>
  </si>
  <si>
    <t>Tentativo, tomado de 2025</t>
  </si>
  <si>
    <t>IFTSA  2026</t>
  </si>
  <si>
    <t>Fidel Velázquez</t>
  </si>
  <si>
    <t>Congreso</t>
  </si>
  <si>
    <t>Vimos a Ma José en la oficina subirá el cartel y esperaremos resultados del 15 de mayo</t>
  </si>
  <si>
    <t>Tentativo tomado de 2025</t>
  </si>
  <si>
    <t xml:space="preserve">Compras desde concursos , viaje del 8 al 11 de junio, </t>
  </si>
  <si>
    <t>Se inician compras vuelos y hospedaje</t>
  </si>
  <si>
    <t>Cierre regsitro real</t>
  </si>
  <si>
    <t>Competencia final</t>
  </si>
  <si>
    <t>Taller prsencial para finalistas Francia</t>
  </si>
  <si>
    <t>Finalistas</t>
  </si>
  <si>
    <t>Vuelo</t>
  </si>
  <si>
    <t>Hotel</t>
  </si>
  <si>
    <t>Seguro</t>
  </si>
  <si>
    <t>Junta previa (firmas, playeras, banderas)</t>
  </si>
  <si>
    <t>Viaje a Milán</t>
  </si>
  <si>
    <t xml:space="preserve">Viaje a Saint Malo Francia </t>
  </si>
  <si>
    <t>ALERTA CORREO CÉSAR</t>
  </si>
  <si>
    <t>Clasificiación Nacional (anuncio)</t>
  </si>
  <si>
    <t>Nos comentó Victor que salen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</si>
</sst>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yy;@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5FD"/>
        <bgColor indexed="64"/>
      </patternFill>
    </fill>
    <fill>
      <patternFill patternType="solid">
        <fgColor rgb="FFE7E6F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165" fontId="0" fillId="0" borderId="0" xfId="0" applyNumberFormat="1"/>
    <xf numFmtId="165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1" fillId="0" borderId="1" xfId="0" applyFont="1" applyBorder="1"/>
    <xf numFmtId="0" fontId="0" fillId="0" borderId="1" xfId="0" applyBorder="1" applyAlignment="1">
      <alignment horizontal="left" indent="4"/>
    </xf>
    <xf numFmtId="165" fontId="0" fillId="3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3" fillId="2" borderId="1" xfId="0" applyFont="1" applyFill="1" applyBorder="1"/>
    <xf numFmtId="165" fontId="3" fillId="2" borderId="1" xfId="0" applyNumberFormat="1" applyFont="1" applyFill="1" applyBorder="1"/>
    <xf numFmtId="14" fontId="3" fillId="2" borderId="1" xfId="0" applyNumberFormat="1" applyFont="1" applyFill="1" applyBorder="1"/>
    <xf numFmtId="0" fontId="2" fillId="3" borderId="1" xfId="0" applyFont="1" applyFill="1" applyBorder="1"/>
    <xf numFmtId="0" fontId="4" fillId="0" borderId="0" xfId="0" applyFont="1"/>
    <xf numFmtId="0" fontId="0" fillId="0" borderId="0" xfId="0" applyAlignment="1">
      <alignment horizontal="left" indent="4"/>
    </xf>
    <xf numFmtId="0" fontId="2" fillId="3" borderId="0" xfId="0" applyFont="1" applyFill="1"/>
    <xf numFmtId="0" fontId="5" fillId="0" borderId="0" xfId="1"/>
    <xf numFmtId="0" fontId="7" fillId="0" borderId="0" xfId="0" applyFont="1"/>
    <xf numFmtId="0" fontId="8" fillId="0" borderId="1" xfId="0" applyFont="1" applyBorder="1"/>
    <xf numFmtId="0" fontId="9" fillId="0" borderId="0" xfId="0" applyFont="1" applyAlignment="1">
      <alignment vertical="center"/>
    </xf>
    <xf numFmtId="164" fontId="0" fillId="0" borderId="1" xfId="0" applyNumberFormat="1" applyBorder="1" applyAlignment="1">
      <alignment horizontal="center"/>
    </xf>
  </cellXfs>
  <cellStyles count="2">
    <cellStyle name="Hipervínculo" xfId="1" builtinId="8"/>
    <cellStyle name="Normal" xfId="0" builtinId="0"/>
  </cellStyles>
  <dxfs count="187"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99FFCC"/>
        </patternFill>
      </fill>
    </dxf>
    <dxf>
      <font>
        <b/>
        <i val="0"/>
      </font>
      <fill>
        <patternFill>
          <bgColor rgb="FFFF9999"/>
        </patternFill>
      </fill>
    </dxf>
  </dxfs>
  <tableStyles count="0" defaultTableStyle="TableStyleMedium9" defaultPivotStyle="PivotStyleLight16"/>
  <colors>
    <mruColors>
      <color rgb="FFE7E6FE"/>
      <color rgb="FFFF9999"/>
      <color rgb="FFB7B5FD"/>
      <color rgb="FF99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91529F94-0085-480A-B3B0-F23E2B86357C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28</xdr:row>
      <xdr:rowOff>0</xdr:rowOff>
    </xdr:from>
    <xdr:to>
      <xdr:col>11</xdr:col>
      <xdr:colOff>101600</xdr:colOff>
      <xdr:row>63</xdr:row>
      <xdr:rowOff>25400</xdr:rowOff>
    </xdr:to>
    <xdr:pic>
      <xdr:nvPicPr>
        <xdr:cNvPr id="2" name="Imagen 1" descr="Imagen">
          <a:extLst>
            <a:ext uri="{FF2B5EF4-FFF2-40B4-BE49-F238E27FC236}">
              <a16:creationId xmlns:a16="http://schemas.microsoft.com/office/drawing/2014/main" id="{95503720-ABBA-4C48-892B-62A283158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4718050"/>
          <a:ext cx="11423650" cy="647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../../:x:/g/personal/paulina_oliveros_ibero_mx/IQAxC8hwv-dGQYMzWaiWtmybAStBoUljH_yL-YzXeNQTETU?e=4hETz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../../../../../:x:/g/personal/paulina_oliveros_ibero_mx/IQBSp41ggTzrQLRYcx9yOCr_AZ2pxMvGyjTbcCGGDDMyLSA?e=XZTUNq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../../../../:x:/g/personal/paulina_oliveros_ibero_mx/IQA-I1XvgfqaToFINYKGx2b1AfzqaFKMzVaA3yYdFioUj9k?e=64yD6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:x:/g/personal/paulina_oliveros_ibero_mx/IQAnTBVbeCfYRKlh7P7ajsxfAZLiSHvvcvJI3vKp8xKPWH4?e=yMgMt8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:x:/g/personal/paulina_oliveros_ibero_mx/IQCJQStMXizjSqQlWoe6QQihAcMZektxBuuoODjg0qOEM0s?email=claudia.arrunada%40ibero.mx&amp;e=XeMaVr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../../../../../../../:x:/g/personal/paulina_oliveros_ibero_mx/IQAbjOsT-ibCSY6z6vHXqnAPAalbarUY5_xgstrzjS8Uk10?e=EtfTGd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../../../../../../../:x:/g/personal/paulina_oliveros_ibero_mx/IQDluwCsEew9T5xaEjth12XnAfh7GkgVY_Euiqzof0w8c5U?e=6r2eXe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../../../../../../../:x:/g/personal/paulina_oliveros_ibero_mx/IQD8ugC1Lq2rRbTvb14RBH1jARp8t_2ur_0X73z4Vhrk0Y0?e=KoBF8l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:x:/g/personal/paulina_oliveros_ibero_mx/IQC7UMsont1aRoclGprEvsnwAQZe9rTexF0nMCLDEwm37SM?e=xbp1p9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../../../../../../../:x:/g/personal/paulina_oliveros_ibero_mx/IQBQJ7Lj8kzASqaq34tfljeQAeO1TOk0npz58iyRmtUvaSY?e=zzfLdB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:x:/g/personal/paulina_oliveros_ibero_mx/IQB6SfYZh38wQ4_vDLN9_cKaAag4dYtoAL9RzvhmAYAoVac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:x:/g/personal/paulina_oliveros_ibero_mx/IQBHd3mlZzKrRq7PWX2BKtOwARXSrUCbD0h4R0Am_9bTglU?email=silviajosefinagonzalezmartinez%40gmail.com&amp;e=Eq1N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zoomScaleNormal="100" workbookViewId="0">
      <selection sqref="A1:XFD1"/>
    </sheetView>
  </sheetViews>
  <sheetFormatPr baseColWidth="10" defaultColWidth="8.81640625" defaultRowHeight="14.5" x14ac:dyDescent="0.35"/>
  <cols>
    <col min="1" max="1" width="17" bestFit="1" customWidth="1"/>
    <col min="2" max="2" width="49.81640625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17.1796875" customWidth="1"/>
    <col min="9" max="9" width="16.81640625" bestFit="1" customWidth="1"/>
    <col min="11" max="11" width="11.26953125" bestFit="1" customWidth="1"/>
  </cols>
  <sheetData>
    <row r="1" spans="1:9" ht="23.5" x14ac:dyDescent="0.55000000000000004">
      <c r="B1" s="16"/>
    </row>
    <row r="2" spans="1:9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9" x14ac:dyDescent="0.35">
      <c r="A3" s="15" t="s">
        <v>9</v>
      </c>
      <c r="B3" s="15" t="s">
        <v>10</v>
      </c>
      <c r="C3" s="9">
        <v>45830</v>
      </c>
      <c r="D3" s="9">
        <v>45830</v>
      </c>
      <c r="E3" s="10">
        <f>NETWORKDAYS(C3,D3)</f>
        <v>0</v>
      </c>
      <c r="F3" s="6" t="s">
        <v>11</v>
      </c>
      <c r="G3" s="4"/>
      <c r="H3" s="4"/>
      <c r="I3" s="7" t="str">
        <f t="shared" ref="I3:I35" ca="1" si="0">IF(F3="✅","✅ Completado",IF(TODAY()&lt;C3,"🟡 Por iniciar",IF(TODAY()&lt;=D3,"🟢 En proceso","🔴 Atrasado")))</f>
        <v>✅ Completado</v>
      </c>
    </row>
    <row r="4" spans="1:9" x14ac:dyDescent="0.35">
      <c r="A4" s="15" t="s">
        <v>9</v>
      </c>
      <c r="B4" s="15" t="s">
        <v>12</v>
      </c>
      <c r="C4" s="9">
        <v>45832</v>
      </c>
      <c r="D4" s="11">
        <v>45836</v>
      </c>
      <c r="E4" s="10">
        <f t="shared" ref="E4:E35" si="1">NETWORKDAYS(C4,D4)</f>
        <v>4</v>
      </c>
      <c r="F4" s="6" t="s">
        <v>13</v>
      </c>
      <c r="G4" s="4"/>
      <c r="H4" s="4"/>
      <c r="I4" s="7" t="str">
        <f t="shared" ca="1" si="0"/>
        <v>🔴 Atrasado</v>
      </c>
    </row>
    <row r="5" spans="1:9" x14ac:dyDescent="0.35">
      <c r="A5" s="15" t="s">
        <v>9</v>
      </c>
      <c r="B5" s="15" t="s">
        <v>14</v>
      </c>
      <c r="C5" s="9">
        <v>45832</v>
      </c>
      <c r="D5" s="11">
        <v>45836</v>
      </c>
      <c r="E5" s="10"/>
      <c r="F5" s="6" t="s">
        <v>13</v>
      </c>
      <c r="G5" s="4"/>
      <c r="H5" s="4"/>
      <c r="I5" s="7"/>
    </row>
    <row r="6" spans="1:9" x14ac:dyDescent="0.35">
      <c r="A6" s="15" t="s">
        <v>9</v>
      </c>
      <c r="B6" s="15" t="s">
        <v>15</v>
      </c>
      <c r="C6" s="9">
        <v>45830</v>
      </c>
      <c r="D6" s="11">
        <v>45831</v>
      </c>
      <c r="E6" s="10">
        <f t="shared" si="1"/>
        <v>1</v>
      </c>
      <c r="F6" s="6" t="s">
        <v>13</v>
      </c>
      <c r="G6" s="4"/>
      <c r="H6" s="4"/>
      <c r="I6" s="7" t="str">
        <f t="shared" ca="1" si="0"/>
        <v>🔴 Atrasado</v>
      </c>
    </row>
    <row r="7" spans="1:9" x14ac:dyDescent="0.35">
      <c r="A7" s="15" t="s">
        <v>9</v>
      </c>
      <c r="B7" s="15" t="s">
        <v>16</v>
      </c>
      <c r="C7" s="9">
        <v>45840</v>
      </c>
      <c r="D7" s="11">
        <v>45841</v>
      </c>
      <c r="E7" s="10">
        <f t="shared" si="1"/>
        <v>2</v>
      </c>
      <c r="F7" s="6" t="s">
        <v>13</v>
      </c>
      <c r="G7" s="4"/>
      <c r="H7" s="4"/>
      <c r="I7" s="7" t="str">
        <f t="shared" ca="1" si="0"/>
        <v>🔴 Atrasado</v>
      </c>
    </row>
    <row r="8" spans="1:9" x14ac:dyDescent="0.35">
      <c r="A8" s="15" t="s">
        <v>9</v>
      </c>
      <c r="B8" s="15" t="s">
        <v>17</v>
      </c>
      <c r="C8" s="9">
        <f>MIN(C9)</f>
        <v>45845</v>
      </c>
      <c r="D8" s="11">
        <v>45852</v>
      </c>
      <c r="E8" s="10">
        <f t="shared" si="1"/>
        <v>6</v>
      </c>
      <c r="F8" s="6" t="s">
        <v>13</v>
      </c>
      <c r="G8" s="4"/>
      <c r="H8" s="4"/>
      <c r="I8" s="7" t="str">
        <f t="shared" ca="1" si="0"/>
        <v>🔴 Atrasado</v>
      </c>
    </row>
    <row r="9" spans="1:9" x14ac:dyDescent="0.35">
      <c r="A9" s="15" t="s">
        <v>9</v>
      </c>
      <c r="B9" s="8" t="s">
        <v>18</v>
      </c>
      <c r="C9" s="3">
        <v>45845</v>
      </c>
      <c r="D9" s="5">
        <v>45852</v>
      </c>
      <c r="E9" s="10">
        <f t="shared" si="1"/>
        <v>6</v>
      </c>
      <c r="F9" s="6" t="s">
        <v>13</v>
      </c>
      <c r="G9" s="4"/>
      <c r="H9" s="4"/>
      <c r="I9" s="7" t="str">
        <f t="shared" ca="1" si="0"/>
        <v>🔴 Atrasado</v>
      </c>
    </row>
    <row r="10" spans="1:9" x14ac:dyDescent="0.35">
      <c r="A10" s="15" t="s">
        <v>9</v>
      </c>
      <c r="B10" s="15" t="s">
        <v>19</v>
      </c>
      <c r="C10" s="9">
        <v>45847</v>
      </c>
      <c r="D10" s="11">
        <v>45848</v>
      </c>
      <c r="E10" s="10">
        <f t="shared" si="1"/>
        <v>2</v>
      </c>
      <c r="F10" s="6" t="s">
        <v>13</v>
      </c>
      <c r="G10" s="4"/>
      <c r="H10" s="4"/>
      <c r="I10" s="7" t="str">
        <f t="shared" ca="1" si="0"/>
        <v>🔴 Atrasado</v>
      </c>
    </row>
    <row r="11" spans="1:9" x14ac:dyDescent="0.35">
      <c r="A11" s="15" t="s">
        <v>9</v>
      </c>
      <c r="B11" s="15" t="s">
        <v>20</v>
      </c>
      <c r="C11" s="9">
        <v>45849</v>
      </c>
      <c r="D11" s="11">
        <v>45852</v>
      </c>
      <c r="E11" s="10">
        <f t="shared" si="1"/>
        <v>2</v>
      </c>
      <c r="F11" s="6" t="s">
        <v>13</v>
      </c>
      <c r="G11" s="4"/>
      <c r="H11" s="4"/>
      <c r="I11" s="7" t="str">
        <f t="shared" ca="1" si="0"/>
        <v>🔴 Atrasado</v>
      </c>
    </row>
    <row r="12" spans="1:9" x14ac:dyDescent="0.35">
      <c r="A12" s="15" t="s">
        <v>9</v>
      </c>
      <c r="B12" s="15" t="s">
        <v>21</v>
      </c>
      <c r="C12" s="9">
        <f>MIN(C13:C14)</f>
        <v>45855</v>
      </c>
      <c r="D12" s="9">
        <f>MAX(D13:D14)</f>
        <v>45858</v>
      </c>
      <c r="E12" s="10">
        <f t="shared" si="1"/>
        <v>2</v>
      </c>
      <c r="F12" s="6" t="s">
        <v>13</v>
      </c>
      <c r="G12" s="4"/>
      <c r="H12" s="4"/>
      <c r="I12" s="7" t="str">
        <f t="shared" ca="1" si="0"/>
        <v>🔴 Atrasado</v>
      </c>
    </row>
    <row r="13" spans="1:9" x14ac:dyDescent="0.35">
      <c r="A13" s="15" t="s">
        <v>9</v>
      </c>
      <c r="B13" s="8" t="s">
        <v>22</v>
      </c>
      <c r="C13" s="3">
        <v>45855</v>
      </c>
      <c r="D13" s="5">
        <v>45856</v>
      </c>
      <c r="E13" s="4">
        <f t="shared" si="1"/>
        <v>2</v>
      </c>
      <c r="F13" s="6" t="s">
        <v>13</v>
      </c>
      <c r="G13" s="4"/>
      <c r="H13" s="4"/>
      <c r="I13" s="7" t="str">
        <f t="shared" ca="1" si="0"/>
        <v>🔴 Atrasado</v>
      </c>
    </row>
    <row r="14" spans="1:9" x14ac:dyDescent="0.35">
      <c r="A14" s="15" t="s">
        <v>9</v>
      </c>
      <c r="B14" s="8" t="s">
        <v>23</v>
      </c>
      <c r="C14" s="3">
        <v>45857</v>
      </c>
      <c r="D14" s="5">
        <v>45858</v>
      </c>
      <c r="E14" s="4">
        <f t="shared" si="1"/>
        <v>0</v>
      </c>
      <c r="F14" s="6" t="s">
        <v>13</v>
      </c>
      <c r="G14" s="4"/>
      <c r="H14" s="4"/>
      <c r="I14" s="7" t="str">
        <f t="shared" ca="1" si="0"/>
        <v>🔴 Atrasado</v>
      </c>
    </row>
    <row r="15" spans="1:9" x14ac:dyDescent="0.35">
      <c r="A15" s="15" t="s">
        <v>9</v>
      </c>
      <c r="B15" s="15" t="s">
        <v>24</v>
      </c>
      <c r="C15" s="9">
        <v>45859</v>
      </c>
      <c r="D15" s="11">
        <v>45861</v>
      </c>
      <c r="E15" s="10">
        <f t="shared" si="1"/>
        <v>3</v>
      </c>
      <c r="F15" s="6" t="s">
        <v>13</v>
      </c>
      <c r="G15" s="4"/>
      <c r="H15" s="4"/>
      <c r="I15" s="7" t="str">
        <f t="shared" ca="1" si="0"/>
        <v>🔴 Atrasado</v>
      </c>
    </row>
    <row r="16" spans="1:9" x14ac:dyDescent="0.35">
      <c r="A16" s="15" t="s">
        <v>9</v>
      </c>
      <c r="B16" s="15" t="s">
        <v>25</v>
      </c>
      <c r="C16" s="9">
        <f>MIN(C17:C20)</f>
        <v>45866</v>
      </c>
      <c r="D16" s="9">
        <f>MAX(D17:D20)</f>
        <v>45875</v>
      </c>
      <c r="E16" s="10">
        <f t="shared" si="1"/>
        <v>8</v>
      </c>
      <c r="F16" s="6" t="s">
        <v>13</v>
      </c>
      <c r="G16" s="4"/>
      <c r="H16" s="4"/>
      <c r="I16" s="7" t="str">
        <f t="shared" ca="1" si="0"/>
        <v>🔴 Atrasado</v>
      </c>
    </row>
    <row r="17" spans="1:9" x14ac:dyDescent="0.35">
      <c r="A17" s="15" t="s">
        <v>9</v>
      </c>
      <c r="B17" s="8" t="s">
        <v>26</v>
      </c>
      <c r="C17" s="3">
        <v>45866</v>
      </c>
      <c r="D17" s="5">
        <v>45868</v>
      </c>
      <c r="E17" s="4">
        <f t="shared" si="1"/>
        <v>3</v>
      </c>
      <c r="F17" s="6" t="s">
        <v>13</v>
      </c>
      <c r="G17" s="4"/>
      <c r="H17" s="4"/>
      <c r="I17" s="7" t="str">
        <f t="shared" ca="1" si="0"/>
        <v>🔴 Atrasado</v>
      </c>
    </row>
    <row r="18" spans="1:9" x14ac:dyDescent="0.35">
      <c r="A18" s="15" t="s">
        <v>9</v>
      </c>
      <c r="B18" s="8" t="s">
        <v>27</v>
      </c>
      <c r="C18" s="3">
        <v>45869</v>
      </c>
      <c r="D18" s="5">
        <v>45870</v>
      </c>
      <c r="E18" s="4"/>
      <c r="F18" s="6" t="s">
        <v>13</v>
      </c>
      <c r="G18" s="4"/>
      <c r="H18" s="4"/>
      <c r="I18" s="7" t="str">
        <f t="shared" ca="1" si="0"/>
        <v>🔴 Atrasado</v>
      </c>
    </row>
    <row r="19" spans="1:9" x14ac:dyDescent="0.35">
      <c r="A19" s="15" t="s">
        <v>9</v>
      </c>
      <c r="B19" s="8" t="s">
        <v>28</v>
      </c>
      <c r="C19" s="3">
        <v>45869</v>
      </c>
      <c r="D19" s="5">
        <v>45870</v>
      </c>
      <c r="E19" s="4">
        <f t="shared" si="1"/>
        <v>2</v>
      </c>
      <c r="F19" s="6" t="s">
        <v>13</v>
      </c>
      <c r="G19" s="4"/>
      <c r="H19" s="4"/>
      <c r="I19" s="7" t="str">
        <f t="shared" ca="1" si="0"/>
        <v>🔴 Atrasado</v>
      </c>
    </row>
    <row r="20" spans="1:9" x14ac:dyDescent="0.35">
      <c r="A20" s="15" t="s">
        <v>9</v>
      </c>
      <c r="B20" s="8" t="s">
        <v>29</v>
      </c>
      <c r="C20" s="3">
        <v>45871</v>
      </c>
      <c r="D20" s="5">
        <v>45875</v>
      </c>
      <c r="E20" s="4">
        <f t="shared" si="1"/>
        <v>3</v>
      </c>
      <c r="F20" s="6" t="s">
        <v>13</v>
      </c>
      <c r="G20" s="4"/>
      <c r="H20" s="4"/>
      <c r="I20" s="7" t="str">
        <f t="shared" ca="1" si="0"/>
        <v>🔴 Atrasado</v>
      </c>
    </row>
    <row r="21" spans="1:9" x14ac:dyDescent="0.35">
      <c r="A21" s="15" t="s">
        <v>9</v>
      </c>
      <c r="B21" s="15" t="s">
        <v>30</v>
      </c>
      <c r="C21" s="9">
        <f>MIN(C22:C27)</f>
        <v>45877</v>
      </c>
      <c r="D21" s="9">
        <f>MAX(D22:D27)</f>
        <v>45889</v>
      </c>
      <c r="E21" s="10">
        <f t="shared" si="1"/>
        <v>9</v>
      </c>
      <c r="F21" s="6" t="s">
        <v>13</v>
      </c>
      <c r="G21" s="4"/>
      <c r="H21" s="4"/>
      <c r="I21" s="7" t="str">
        <f t="shared" ca="1" si="0"/>
        <v>🔴 Atrasado</v>
      </c>
    </row>
    <row r="22" spans="1:9" x14ac:dyDescent="0.35">
      <c r="A22" s="15" t="s">
        <v>9</v>
      </c>
      <c r="B22" s="8" t="s">
        <v>31</v>
      </c>
      <c r="C22" s="3">
        <v>45877</v>
      </c>
      <c r="D22" s="5">
        <v>45878</v>
      </c>
      <c r="E22" s="4">
        <f t="shared" si="1"/>
        <v>1</v>
      </c>
      <c r="F22" s="6" t="s">
        <v>13</v>
      </c>
      <c r="G22" s="4"/>
      <c r="H22" s="4"/>
      <c r="I22" s="7" t="str">
        <f t="shared" ca="1" si="0"/>
        <v>🔴 Atrasado</v>
      </c>
    </row>
    <row r="23" spans="1:9" x14ac:dyDescent="0.35">
      <c r="A23" s="15" t="s">
        <v>9</v>
      </c>
      <c r="B23" s="8" t="s">
        <v>32</v>
      </c>
      <c r="C23" s="3">
        <v>45879</v>
      </c>
      <c r="D23" s="5">
        <v>45880</v>
      </c>
      <c r="E23" s="4">
        <f t="shared" si="1"/>
        <v>1</v>
      </c>
      <c r="F23" s="6" t="s">
        <v>13</v>
      </c>
      <c r="G23" s="4"/>
      <c r="H23" s="4"/>
      <c r="I23" s="7" t="str">
        <f t="shared" ca="1" si="0"/>
        <v>🔴 Atrasado</v>
      </c>
    </row>
    <row r="24" spans="1:9" x14ac:dyDescent="0.35">
      <c r="A24" s="15" t="s">
        <v>9</v>
      </c>
      <c r="B24" s="8" t="s">
        <v>33</v>
      </c>
      <c r="C24" s="3">
        <v>45881</v>
      </c>
      <c r="D24" s="5">
        <v>45882</v>
      </c>
      <c r="E24" s="4">
        <f t="shared" si="1"/>
        <v>2</v>
      </c>
      <c r="F24" s="6" t="s">
        <v>13</v>
      </c>
      <c r="G24" s="4"/>
      <c r="H24" s="4"/>
      <c r="I24" s="7" t="str">
        <f t="shared" ca="1" si="0"/>
        <v>🔴 Atrasado</v>
      </c>
    </row>
    <row r="25" spans="1:9" x14ac:dyDescent="0.35">
      <c r="A25" s="15" t="s">
        <v>9</v>
      </c>
      <c r="B25" s="8" t="s">
        <v>34</v>
      </c>
      <c r="C25" s="3">
        <v>45883</v>
      </c>
      <c r="D25" s="5">
        <v>45884</v>
      </c>
      <c r="E25" s="4">
        <f t="shared" si="1"/>
        <v>2</v>
      </c>
      <c r="F25" s="6" t="s">
        <v>13</v>
      </c>
      <c r="G25" s="4"/>
      <c r="H25" s="4"/>
      <c r="I25" s="7" t="str">
        <f t="shared" ca="1" si="0"/>
        <v>🔴 Atrasado</v>
      </c>
    </row>
    <row r="26" spans="1:9" x14ac:dyDescent="0.35">
      <c r="A26" s="15" t="s">
        <v>9</v>
      </c>
      <c r="B26" s="8" t="s">
        <v>35</v>
      </c>
      <c r="C26" s="3">
        <v>45885</v>
      </c>
      <c r="D26" s="5">
        <v>45886</v>
      </c>
      <c r="E26" s="4">
        <f t="shared" si="1"/>
        <v>0</v>
      </c>
      <c r="F26" s="6" t="s">
        <v>13</v>
      </c>
      <c r="G26" s="4"/>
      <c r="H26" s="4"/>
      <c r="I26" s="7" t="str">
        <f t="shared" ca="1" si="0"/>
        <v>🔴 Atrasado</v>
      </c>
    </row>
    <row r="27" spans="1:9" x14ac:dyDescent="0.35">
      <c r="A27" s="15" t="s">
        <v>9</v>
      </c>
      <c r="B27" s="8" t="s">
        <v>36</v>
      </c>
      <c r="C27" s="3">
        <v>45887</v>
      </c>
      <c r="D27" s="5">
        <v>45889</v>
      </c>
      <c r="E27" s="4">
        <f t="shared" si="1"/>
        <v>3</v>
      </c>
      <c r="F27" s="6" t="s">
        <v>13</v>
      </c>
      <c r="G27" s="4"/>
      <c r="H27" s="4"/>
      <c r="I27" s="7" t="str">
        <f t="shared" ca="1" si="0"/>
        <v>🔴 Atrasado</v>
      </c>
    </row>
    <row r="28" spans="1:9" x14ac:dyDescent="0.35">
      <c r="A28" s="15" t="s">
        <v>9</v>
      </c>
      <c r="B28" s="15" t="s">
        <v>37</v>
      </c>
      <c r="C28" s="9">
        <v>45890</v>
      </c>
      <c r="D28" s="11">
        <v>45891</v>
      </c>
      <c r="E28" s="10">
        <f t="shared" si="1"/>
        <v>2</v>
      </c>
      <c r="F28" s="6" t="s">
        <v>13</v>
      </c>
      <c r="G28" s="4"/>
      <c r="H28" s="4"/>
      <c r="I28" s="7" t="str">
        <f t="shared" ca="1" si="0"/>
        <v>🔴 Atrasado</v>
      </c>
    </row>
    <row r="29" spans="1:9" x14ac:dyDescent="0.35">
      <c r="A29" s="15" t="s">
        <v>9</v>
      </c>
      <c r="B29" s="15" t="s">
        <v>38</v>
      </c>
      <c r="C29" s="9">
        <f>MIN(C30:C35)</f>
        <v>45894</v>
      </c>
      <c r="D29" s="9">
        <f>MAX(D30:D35)</f>
        <v>45899</v>
      </c>
      <c r="E29" s="10">
        <f>NETWORKDAYS(C29,D29)</f>
        <v>5</v>
      </c>
      <c r="F29" s="6" t="s">
        <v>13</v>
      </c>
      <c r="G29" s="4"/>
      <c r="H29" s="4"/>
      <c r="I29" s="7" t="str">
        <f t="shared" ca="1" si="0"/>
        <v>🔴 Atrasado</v>
      </c>
    </row>
    <row r="30" spans="1:9" x14ac:dyDescent="0.35">
      <c r="A30" s="15" t="s">
        <v>9</v>
      </c>
      <c r="B30" s="8" t="s">
        <v>39</v>
      </c>
      <c r="C30" s="3">
        <v>45894</v>
      </c>
      <c r="D30" s="5">
        <v>45895</v>
      </c>
      <c r="E30" s="4">
        <f t="shared" si="1"/>
        <v>2</v>
      </c>
      <c r="F30" s="6" t="s">
        <v>13</v>
      </c>
      <c r="G30" s="4"/>
      <c r="H30" s="4"/>
      <c r="I30" s="7" t="str">
        <f t="shared" ca="1" si="0"/>
        <v>🔴 Atrasado</v>
      </c>
    </row>
    <row r="31" spans="1:9" x14ac:dyDescent="0.35">
      <c r="A31" s="15" t="s">
        <v>9</v>
      </c>
      <c r="B31" s="8" t="s">
        <v>40</v>
      </c>
      <c r="C31" s="3"/>
      <c r="D31" s="5"/>
      <c r="E31" s="4"/>
      <c r="F31" s="6"/>
      <c r="G31" s="4"/>
      <c r="H31" s="4"/>
      <c r="I31" s="7"/>
    </row>
    <row r="32" spans="1:9" x14ac:dyDescent="0.35">
      <c r="A32" s="15" t="s">
        <v>9</v>
      </c>
      <c r="B32" s="8" t="s">
        <v>41</v>
      </c>
      <c r="C32" s="3"/>
      <c r="D32" s="5"/>
      <c r="E32" s="4"/>
      <c r="F32" s="6"/>
      <c r="G32" s="4"/>
      <c r="H32" s="4"/>
      <c r="I32" s="7"/>
    </row>
    <row r="33" spans="1:9" x14ac:dyDescent="0.35">
      <c r="A33" s="15" t="s">
        <v>9</v>
      </c>
      <c r="B33" s="8" t="s">
        <v>42</v>
      </c>
      <c r="C33" s="3"/>
      <c r="D33" s="5"/>
      <c r="E33" s="4"/>
      <c r="F33" s="6"/>
      <c r="G33" s="4"/>
      <c r="H33" s="4"/>
      <c r="I33" s="7"/>
    </row>
    <row r="34" spans="1:9" x14ac:dyDescent="0.35">
      <c r="A34" s="15" t="s">
        <v>9</v>
      </c>
      <c r="B34" s="8" t="s">
        <v>43</v>
      </c>
      <c r="C34" s="3">
        <v>45896</v>
      </c>
      <c r="D34" s="5">
        <v>45897</v>
      </c>
      <c r="E34" s="4">
        <f t="shared" si="1"/>
        <v>2</v>
      </c>
      <c r="F34" s="6" t="s">
        <v>13</v>
      </c>
      <c r="G34" s="4"/>
      <c r="H34" s="4"/>
      <c r="I34" s="7" t="str">
        <f t="shared" ca="1" si="0"/>
        <v>🔴 Atrasado</v>
      </c>
    </row>
    <row r="35" spans="1:9" x14ac:dyDescent="0.35">
      <c r="A35" s="15" t="s">
        <v>9</v>
      </c>
      <c r="B35" s="8" t="s">
        <v>44</v>
      </c>
      <c r="C35" s="3">
        <v>45898</v>
      </c>
      <c r="D35" s="5">
        <v>45899</v>
      </c>
      <c r="E35" s="4">
        <f t="shared" si="1"/>
        <v>1</v>
      </c>
      <c r="F35" s="6" t="s">
        <v>13</v>
      </c>
      <c r="G35" s="4"/>
      <c r="H35" s="4"/>
      <c r="I35" s="7" t="str">
        <f t="shared" ca="1" si="0"/>
        <v>🔴 Atrasado</v>
      </c>
    </row>
  </sheetData>
  <conditionalFormatting sqref="C3:H35">
    <cfRule type="expression" dxfId="186" priority="1">
      <formula>$I3="🔴 Atrasado"</formula>
    </cfRule>
  </conditionalFormatting>
  <conditionalFormatting sqref="F1:F1048576">
    <cfRule type="containsText" dxfId="185" priority="2" operator="containsText" text="✅">
      <formula>NOT(ISERROR(SEARCH("✅",F1)))</formula>
    </cfRule>
  </conditionalFormatting>
  <conditionalFormatting sqref="I1:I1048576">
    <cfRule type="containsText" dxfId="184" priority="3" operator="containsText" text="Completado">
      <formula>NOT(ISERROR(SEARCH("Completado",I1)))</formula>
    </cfRule>
    <cfRule type="containsText" dxfId="183" priority="4" operator="containsText" text="Atrasado">
      <formula>NOT(ISERROR(SEARCH("Atrasado",I1)))</formula>
    </cfRule>
    <cfRule type="containsText" dxfId="182" priority="5" operator="containsText" text="En proceso">
      <formula>NOT(ISERROR(SEARCH("En proceso",I1)))</formula>
    </cfRule>
    <cfRule type="containsText" dxfId="181" priority="6" operator="containsText" text="Por iniciar">
      <formula>NOT(ISERROR(SEARCH("Por iniciar",I1)))</formula>
    </cfRule>
  </conditionalFormatting>
  <dataValidations count="1">
    <dataValidation type="list" showInputMessage="1" showErrorMessage="1" sqref="F3:F35" xr:uid="{965F69BA-ADBB-47FD-87FC-3833AB975201}">
      <formula1>"✅,No,"</formula1>
    </dataValidation>
  </dataValidations>
  <pageMargins left="0.75" right="0.75" top="1" bottom="1" header="0.5" footer="0.5"/>
  <ignoredErrors>
    <ignoredError sqref="C12:D1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BE23-E91B-4F96-A5FE-A913A9027F53}">
  <dimension ref="A1:J28"/>
  <sheetViews>
    <sheetView workbookViewId="0">
      <selection activeCell="H25" sqref="H25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24.54296875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45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45</v>
      </c>
      <c r="B3" s="15" t="s">
        <v>12</v>
      </c>
      <c r="C3" s="9">
        <v>45950</v>
      </c>
      <c r="D3" s="11">
        <v>45960</v>
      </c>
      <c r="E3" s="10">
        <f t="shared" ref="E3:E19" si="0">NETWORKDAYS(C3,D3)</f>
        <v>9</v>
      </c>
      <c r="F3" s="6" t="s">
        <v>11</v>
      </c>
      <c r="G3" s="4"/>
      <c r="H3" s="4"/>
      <c r="I3" s="7" t="str">
        <f t="shared" ref="I3:I19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45</v>
      </c>
      <c r="B4" s="15" t="s">
        <v>14</v>
      </c>
      <c r="C4" s="9">
        <v>45951</v>
      </c>
      <c r="D4" s="11">
        <v>45961</v>
      </c>
      <c r="E4" s="10">
        <f t="shared" si="0"/>
        <v>9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45</v>
      </c>
      <c r="B5" s="15" t="s">
        <v>15</v>
      </c>
      <c r="C5" s="9">
        <v>45962</v>
      </c>
      <c r="D5" s="11">
        <v>45976</v>
      </c>
      <c r="E5" s="10">
        <f t="shared" si="0"/>
        <v>10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45</v>
      </c>
      <c r="B6" s="15" t="s">
        <v>16</v>
      </c>
      <c r="C6" s="9">
        <v>46034</v>
      </c>
      <c r="D6" s="11">
        <v>46038</v>
      </c>
      <c r="E6" s="10">
        <f t="shared" si="0"/>
        <v>5</v>
      </c>
      <c r="F6" s="6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45</v>
      </c>
      <c r="B7" s="15" t="s">
        <v>46</v>
      </c>
      <c r="C7" s="9">
        <v>45985</v>
      </c>
      <c r="D7" s="11">
        <v>45989</v>
      </c>
      <c r="E7" s="10">
        <f t="shared" si="0"/>
        <v>5</v>
      </c>
      <c r="F7" s="6" t="s">
        <v>11</v>
      </c>
      <c r="G7" s="4"/>
      <c r="H7" s="4"/>
      <c r="I7" s="7" t="str">
        <f t="shared" ca="1" si="1"/>
        <v>✅ Completado</v>
      </c>
    </row>
    <row r="8" spans="1:10" x14ac:dyDescent="0.35">
      <c r="A8" s="15" t="s">
        <v>45</v>
      </c>
      <c r="B8" s="8" t="s">
        <v>18</v>
      </c>
      <c r="C8" s="3">
        <v>45985</v>
      </c>
      <c r="D8" s="5">
        <v>45989</v>
      </c>
      <c r="E8" s="10">
        <f t="shared" si="0"/>
        <v>5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0" x14ac:dyDescent="0.35">
      <c r="A9" s="15" t="s">
        <v>45</v>
      </c>
      <c r="B9" s="15" t="s">
        <v>19</v>
      </c>
      <c r="C9" s="9">
        <v>46022</v>
      </c>
      <c r="D9" s="9">
        <v>46022</v>
      </c>
      <c r="E9" s="10">
        <f>NETWORKDAYS(C9,D9)</f>
        <v>1</v>
      </c>
      <c r="F9" s="6" t="s">
        <v>11</v>
      </c>
      <c r="G9" s="4"/>
      <c r="H9" s="4"/>
      <c r="I9" s="7" t="str">
        <f ca="1">IF(F9="✅","✅ Completado",IF(TODAY()&lt;C9,"🟡 Por iniciar",IF(TODAY()&lt;=D9,"🟢 En proceso","🔴 Atrasado")))</f>
        <v>✅ Completado</v>
      </c>
    </row>
    <row r="10" spans="1:10" x14ac:dyDescent="0.35">
      <c r="A10" s="15" t="s">
        <v>45</v>
      </c>
      <c r="B10" s="15" t="s">
        <v>48</v>
      </c>
      <c r="C10" s="9">
        <v>46023</v>
      </c>
      <c r="D10" s="9">
        <v>46081</v>
      </c>
      <c r="E10" s="10">
        <f>NETWORKDAYS(C10,D10)</f>
        <v>42</v>
      </c>
      <c r="F10" s="6" t="s">
        <v>11</v>
      </c>
      <c r="G10" s="4"/>
      <c r="H10" s="4"/>
      <c r="I10" s="7" t="str">
        <f ca="1">IF(F10="✅","✅ Completado",IF(TODAY()&lt;C10,"🟡 Por iniciar",IF(TODAY()&lt;=D10,"🟢 En proceso","🔴 Atrasado")))</f>
        <v>✅ Completado</v>
      </c>
    </row>
    <row r="11" spans="1:10" x14ac:dyDescent="0.35">
      <c r="A11" s="15" t="s">
        <v>45</v>
      </c>
      <c r="B11" s="15" t="s">
        <v>49</v>
      </c>
      <c r="C11" s="9">
        <v>46087</v>
      </c>
      <c r="D11" s="9">
        <v>46092</v>
      </c>
      <c r="E11" s="10">
        <f>NETWORKDAYS(C11,D11)</f>
        <v>4</v>
      </c>
      <c r="F11" s="6" t="s">
        <v>11</v>
      </c>
      <c r="G11" s="4"/>
      <c r="H11" s="4"/>
      <c r="I11" s="7" t="str">
        <f ca="1">IF(F11="✅","✅ Completado",IF(TODAY()&lt;C11,"🟡 Por iniciar",IF(TODAY()&lt;=D11,"🟢 En proceso","🔴 Atrasado")))</f>
        <v>✅ Completado</v>
      </c>
    </row>
    <row r="12" spans="1:10" x14ac:dyDescent="0.35">
      <c r="A12" s="15" t="s">
        <v>45</v>
      </c>
      <c r="B12" s="15" t="s">
        <v>50</v>
      </c>
      <c r="C12" s="9">
        <v>46093</v>
      </c>
      <c r="D12" s="11">
        <v>46093</v>
      </c>
      <c r="E12" s="10">
        <f>NETWORKDAYS(C12,D12)</f>
        <v>1</v>
      </c>
      <c r="F12" s="6" t="s">
        <v>11</v>
      </c>
      <c r="G12" s="4"/>
      <c r="H12" s="4"/>
      <c r="I12" s="7" t="str">
        <f ca="1">IF(F12="✅","✅ Completado",IF(TODAY()&lt;C12,"🟡 Por iniciar",IF(TODAY()&lt;=D12,"🟢 En proceso","🔴 Atrasado")))</f>
        <v>✅ Completado</v>
      </c>
    </row>
    <row r="13" spans="1:10" x14ac:dyDescent="0.35">
      <c r="A13" s="15" t="s">
        <v>45</v>
      </c>
      <c r="B13" s="15" t="s">
        <v>49</v>
      </c>
      <c r="C13" s="9">
        <v>46127</v>
      </c>
      <c r="D13" s="9">
        <v>46127</v>
      </c>
      <c r="E13" s="10">
        <f>NETWORKDAYS(C13,D13)</f>
        <v>1</v>
      </c>
      <c r="F13" s="6" t="s">
        <v>13</v>
      </c>
      <c r="G13" s="4"/>
      <c r="H13" s="4"/>
      <c r="I13" s="7" t="str">
        <f ca="1">IF(F13="✅","✅ Completado",IF(TODAY()&lt;C13,"🟡 Por iniciar",IF(TODAY()&lt;=D13,"🟢 En proceso","🔴 Atrasado")))</f>
        <v>🔴 Atrasado</v>
      </c>
    </row>
    <row r="14" spans="1:10" x14ac:dyDescent="0.35">
      <c r="A14" s="15" t="s">
        <v>45</v>
      </c>
      <c r="B14" s="15" t="s">
        <v>51</v>
      </c>
      <c r="C14" s="9">
        <v>46132</v>
      </c>
      <c r="D14" s="11">
        <v>46134</v>
      </c>
      <c r="E14" s="10">
        <f t="shared" si="0"/>
        <v>3</v>
      </c>
      <c r="F14" s="6" t="s">
        <v>13</v>
      </c>
      <c r="G14" s="4"/>
      <c r="H14" s="4" t="s">
        <v>272</v>
      </c>
      <c r="I14" s="7" t="str">
        <f t="shared" ca="1" si="1"/>
        <v>🟡 Por iniciar</v>
      </c>
    </row>
    <row r="15" spans="1:10" x14ac:dyDescent="0.35">
      <c r="A15" s="15" t="s">
        <v>45</v>
      </c>
      <c r="B15" s="15" t="s">
        <v>52</v>
      </c>
      <c r="C15" s="9">
        <v>46143</v>
      </c>
      <c r="D15" s="11">
        <v>46172</v>
      </c>
      <c r="E15" s="10">
        <f>NETWORKDAYS(C15,D15)</f>
        <v>21</v>
      </c>
      <c r="F15" s="6" t="s">
        <v>13</v>
      </c>
      <c r="G15" s="4"/>
      <c r="H15" s="4" t="s">
        <v>53</v>
      </c>
      <c r="I15" s="7" t="str">
        <f ca="1">IF(F15="✅","✅ Completado",IF(TODAY()&lt;C15,"🟡 Por iniciar",IF(TODAY()&lt;=D15,"🟢 En proceso","🔴 Atrasado")))</f>
        <v>🟡 Por iniciar</v>
      </c>
    </row>
    <row r="16" spans="1:10" x14ac:dyDescent="0.35">
      <c r="A16" s="15" t="s">
        <v>45</v>
      </c>
      <c r="B16" s="15" t="s">
        <v>38</v>
      </c>
      <c r="C16" s="9">
        <v>46144</v>
      </c>
      <c r="D16" s="11">
        <v>46173</v>
      </c>
      <c r="E16" s="10">
        <f>NETWORKDAYS(C16,D16)</f>
        <v>20</v>
      </c>
      <c r="F16" s="6" t="s">
        <v>13</v>
      </c>
      <c r="G16" s="4"/>
      <c r="H16" s="4" t="s">
        <v>54</v>
      </c>
      <c r="I16" s="7" t="str">
        <f t="shared" ca="1" si="1"/>
        <v>🟡 Por iniciar</v>
      </c>
    </row>
    <row r="17" spans="1:9" x14ac:dyDescent="0.35">
      <c r="A17" s="15" t="s">
        <v>45</v>
      </c>
      <c r="B17" s="8" t="s">
        <v>55</v>
      </c>
      <c r="C17" s="3">
        <v>46174</v>
      </c>
      <c r="D17" s="3">
        <v>46178</v>
      </c>
      <c r="E17" s="4">
        <f t="shared" si="0"/>
        <v>5</v>
      </c>
      <c r="F17" s="6" t="s">
        <v>13</v>
      </c>
      <c r="G17" s="4"/>
      <c r="H17" s="4"/>
      <c r="I17" s="7" t="str">
        <f t="shared" ca="1" si="1"/>
        <v>🟡 Por iniciar</v>
      </c>
    </row>
    <row r="18" spans="1:9" x14ac:dyDescent="0.35">
      <c r="A18" s="15" t="s">
        <v>45</v>
      </c>
      <c r="B18" s="8" t="s">
        <v>43</v>
      </c>
      <c r="C18" s="3">
        <v>46175</v>
      </c>
      <c r="D18" s="3">
        <v>46179</v>
      </c>
      <c r="E18" s="4">
        <f t="shared" si="0"/>
        <v>4</v>
      </c>
      <c r="F18" s="6" t="s">
        <v>13</v>
      </c>
      <c r="G18" s="4"/>
      <c r="H18" s="4"/>
      <c r="I18" s="7" t="str">
        <f t="shared" ca="1" si="1"/>
        <v>🟡 Por iniciar</v>
      </c>
    </row>
    <row r="19" spans="1:9" x14ac:dyDescent="0.35">
      <c r="A19" s="15" t="s">
        <v>45</v>
      </c>
      <c r="B19" s="8" t="s">
        <v>44</v>
      </c>
      <c r="C19" s="3">
        <v>46176</v>
      </c>
      <c r="D19" s="3">
        <v>46180</v>
      </c>
      <c r="E19" s="4">
        <f t="shared" si="0"/>
        <v>3</v>
      </c>
      <c r="F19" s="6" t="s">
        <v>13</v>
      </c>
      <c r="G19" s="4"/>
      <c r="H19" s="4"/>
      <c r="I19" s="7" t="str">
        <f t="shared" ca="1" si="1"/>
        <v>🟡 Por iniciar</v>
      </c>
    </row>
    <row r="22" spans="1:9" x14ac:dyDescent="0.35">
      <c r="A22" s="18" t="s">
        <v>56</v>
      </c>
      <c r="B22" s="17" t="s">
        <v>57</v>
      </c>
    </row>
    <row r="25" spans="1:9" x14ac:dyDescent="0.35">
      <c r="A25" s="19" t="s">
        <v>58</v>
      </c>
    </row>
    <row r="26" spans="1:9" x14ac:dyDescent="0.35">
      <c r="A26" s="19"/>
      <c r="C26"/>
      <c r="D26"/>
    </row>
    <row r="28" spans="1:9" x14ac:dyDescent="0.35">
      <c r="B28" t="s">
        <v>271</v>
      </c>
    </row>
  </sheetData>
  <conditionalFormatting sqref="C1 F1:F25">
    <cfRule type="containsText" dxfId="180" priority="1" operator="containsText" text="✅">
      <formula>NOT(ISERROR(SEARCH("✅",C1)))</formula>
    </cfRule>
  </conditionalFormatting>
  <conditionalFormatting sqref="C26 F27:F1048576">
    <cfRule type="containsText" dxfId="179" priority="3" operator="containsText" text="✅">
      <formula>NOT(ISERROR(SEARCH("✅",C26)))</formula>
    </cfRule>
  </conditionalFormatting>
  <conditionalFormatting sqref="C3:H19">
    <cfRule type="expression" dxfId="178" priority="2">
      <formula>$I3="🔴 Atrasado"</formula>
    </cfRule>
  </conditionalFormatting>
  <conditionalFormatting sqref="I1:I25 F26 I27:I1048576">
    <cfRule type="containsText" dxfId="177" priority="4" operator="containsText" text="Completado">
      <formula>NOT(ISERROR(SEARCH("Completado",F1)))</formula>
    </cfRule>
    <cfRule type="containsText" dxfId="176" priority="5" operator="containsText" text="Atrasado">
      <formula>NOT(ISERROR(SEARCH("Atrasado",F1)))</formula>
    </cfRule>
    <cfRule type="containsText" dxfId="175" priority="6" operator="containsText" text="En proceso">
      <formula>NOT(ISERROR(SEARCH("En proceso",F1)))</formula>
    </cfRule>
    <cfRule type="containsText" dxfId="174" priority="7" operator="containsText" text="Por iniciar">
      <formula>NOT(ISERROR(SEARCH("Por iniciar",F1)))</formula>
    </cfRule>
  </conditionalFormatting>
  <dataValidations count="1">
    <dataValidation type="list" showInputMessage="1" showErrorMessage="1" sqref="F3:F19" xr:uid="{085CF474-D03D-4E89-8386-14ACF7C72B69}">
      <formula1>"✅,No,"</formula1>
    </dataValidation>
  </dataValidations>
  <hyperlinks>
    <hyperlink ref="A25" r:id="rId1" display="../../../../../../../:x:/g/personal/paulina_oliveros_ibero_mx/IQAxC8hwv-dGQYMzWaiWtmybAStBoUljH_yL-YzXeNQTETU?e=4hETzK" xr:uid="{01A13E27-80D1-4EDC-A1D8-145ACD557E29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37EF-D015-447B-9CD1-3E4C91CB5B9C}">
  <dimension ref="A1:K26"/>
  <sheetViews>
    <sheetView topLeftCell="A15" workbookViewId="0">
      <selection activeCell="I21" sqref="I21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14.7265625" customWidth="1"/>
    <col min="9" max="9" width="16.81640625" bestFit="1" customWidth="1"/>
    <col min="11" max="11" width="11.26953125" bestFit="1" customWidth="1"/>
  </cols>
  <sheetData>
    <row r="1" spans="1:11" ht="23.5" x14ac:dyDescent="0.55000000000000004">
      <c r="B1" s="16" t="s">
        <v>59</v>
      </c>
      <c r="C1"/>
      <c r="D1"/>
    </row>
    <row r="2" spans="1:11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1" x14ac:dyDescent="0.35">
      <c r="A3" s="15" t="s">
        <v>59</v>
      </c>
      <c r="B3" s="15" t="s">
        <v>12</v>
      </c>
      <c r="C3" s="9">
        <v>45950</v>
      </c>
      <c r="D3" s="11">
        <v>45960</v>
      </c>
      <c r="E3" s="10">
        <f t="shared" ref="E3:E18" si="0">NETWORKDAYS(C3,D3)</f>
        <v>9</v>
      </c>
      <c r="F3" s="6" t="s">
        <v>11</v>
      </c>
      <c r="G3" s="4"/>
      <c r="H3" s="4"/>
      <c r="I3" s="7" t="str">
        <f t="shared" ref="I3:I18" ca="1" si="1">IF(F3="✅","✅ Completado",IF(TODAY()&lt;C3,"🟡 Por iniciar",IF(TODAY()&lt;=D3,"🟢 En proceso","🔴 Atrasado")))</f>
        <v>✅ Completado</v>
      </c>
    </row>
    <row r="4" spans="1:11" x14ac:dyDescent="0.35">
      <c r="A4" s="15" t="s">
        <v>59</v>
      </c>
      <c r="B4" s="15" t="s">
        <v>14</v>
      </c>
      <c r="C4" s="9">
        <v>45951</v>
      </c>
      <c r="D4" s="11">
        <v>45961</v>
      </c>
      <c r="E4" s="10">
        <f t="shared" si="0"/>
        <v>9</v>
      </c>
      <c r="F4" s="6" t="s">
        <v>11</v>
      </c>
      <c r="G4" s="4"/>
      <c r="H4" s="4"/>
      <c r="I4" s="7" t="str">
        <f t="shared" ca="1" si="1"/>
        <v>✅ Completado</v>
      </c>
    </row>
    <row r="5" spans="1:11" x14ac:dyDescent="0.35">
      <c r="A5" s="15" t="s">
        <v>59</v>
      </c>
      <c r="B5" s="15" t="s">
        <v>15</v>
      </c>
      <c r="C5" s="9">
        <v>45962</v>
      </c>
      <c r="D5" s="11">
        <v>45976</v>
      </c>
      <c r="E5" s="10">
        <f t="shared" si="0"/>
        <v>10</v>
      </c>
      <c r="F5" s="6" t="s">
        <v>11</v>
      </c>
      <c r="G5" s="4"/>
      <c r="H5" s="4"/>
      <c r="I5" s="7" t="str">
        <f t="shared" ca="1" si="1"/>
        <v>✅ Completado</v>
      </c>
    </row>
    <row r="6" spans="1:11" x14ac:dyDescent="0.35">
      <c r="A6" s="15" t="s">
        <v>59</v>
      </c>
      <c r="B6" s="15" t="s">
        <v>16</v>
      </c>
      <c r="C6" s="9">
        <v>45979</v>
      </c>
      <c r="D6" s="11">
        <v>45993</v>
      </c>
      <c r="E6" s="10">
        <f t="shared" si="0"/>
        <v>11</v>
      </c>
      <c r="F6" s="6" t="s">
        <v>11</v>
      </c>
      <c r="G6" s="4"/>
      <c r="H6" s="4"/>
      <c r="I6" s="7" t="str">
        <f t="shared" ca="1" si="1"/>
        <v>✅ Completado</v>
      </c>
    </row>
    <row r="7" spans="1:11" x14ac:dyDescent="0.35">
      <c r="A7" s="15" t="s">
        <v>59</v>
      </c>
      <c r="B7" s="15" t="s">
        <v>46</v>
      </c>
      <c r="C7" s="9">
        <v>46121</v>
      </c>
      <c r="D7" s="11">
        <v>46121</v>
      </c>
      <c r="E7" s="10">
        <f t="shared" si="0"/>
        <v>1</v>
      </c>
      <c r="F7" s="6" t="s">
        <v>11</v>
      </c>
      <c r="G7" s="4"/>
      <c r="H7" s="4"/>
      <c r="I7" s="7" t="str">
        <f t="shared" ca="1" si="1"/>
        <v>✅ Completado</v>
      </c>
    </row>
    <row r="8" spans="1:11" x14ac:dyDescent="0.35">
      <c r="A8" s="15" t="s">
        <v>59</v>
      </c>
      <c r="B8" s="8" t="s">
        <v>18</v>
      </c>
      <c r="C8" s="9">
        <v>46124</v>
      </c>
      <c r="D8" s="11">
        <v>46124</v>
      </c>
      <c r="E8" s="10">
        <f t="shared" si="0"/>
        <v>0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1" x14ac:dyDescent="0.35">
      <c r="A9" s="15" t="s">
        <v>59</v>
      </c>
      <c r="B9" s="15" t="s">
        <v>60</v>
      </c>
      <c r="C9" s="9">
        <v>46124</v>
      </c>
      <c r="D9" s="11">
        <v>46124</v>
      </c>
      <c r="E9" s="10">
        <f t="shared" ref="E9:E15" si="2">NETWORKDAYS(C9,D9)</f>
        <v>0</v>
      </c>
      <c r="F9" s="6" t="s">
        <v>11</v>
      </c>
      <c r="G9" s="4"/>
      <c r="H9" s="4" t="s">
        <v>53</v>
      </c>
      <c r="I9" s="7" t="str">
        <f ca="1">IF(F9="✅","✅ Completado",IF(TODAY()&lt;C9,"🟡 Por iniciar",IF(TODAY()&lt;=D9,"🟢 En proceso","🔴 Atrasado")))</f>
        <v>✅ Completado</v>
      </c>
    </row>
    <row r="10" spans="1:11" x14ac:dyDescent="0.35">
      <c r="A10" s="15" t="s">
        <v>59</v>
      </c>
      <c r="B10" s="15" t="s">
        <v>50</v>
      </c>
      <c r="C10" s="9">
        <v>46128</v>
      </c>
      <c r="D10" s="9">
        <v>46128</v>
      </c>
      <c r="E10" s="10">
        <f t="shared" si="2"/>
        <v>1</v>
      </c>
      <c r="F10" s="6" t="s">
        <v>13</v>
      </c>
      <c r="G10" s="4"/>
      <c r="H10" s="4"/>
      <c r="I10" s="7" t="str">
        <f t="shared" ref="I10:I14" ca="1" si="3">IF(F10="✅","✅ Completado",IF(TODAY()&lt;C10,"🟡 Por iniciar",IF(TODAY()&lt;=D10,"🟢 En proceso","🔴 Atrasado")))</f>
        <v>🔴 Atrasado</v>
      </c>
    </row>
    <row r="11" spans="1:11" x14ac:dyDescent="0.35">
      <c r="A11" s="15" t="s">
        <v>59</v>
      </c>
      <c r="B11" s="15" t="s">
        <v>308</v>
      </c>
      <c r="C11" s="9">
        <v>46132</v>
      </c>
      <c r="D11" s="9">
        <v>46132</v>
      </c>
      <c r="E11" s="10">
        <f t="shared" ref="E11" si="4">NETWORKDAYS(C11,D11)</f>
        <v>1</v>
      </c>
      <c r="F11" s="6" t="s">
        <v>13</v>
      </c>
      <c r="G11" s="4"/>
      <c r="H11" s="4"/>
      <c r="I11" s="7" t="str">
        <f t="shared" ref="I11" ca="1" si="5">IF(F11="✅","✅ Completado",IF(TODAY()&lt;C11,"🟡 Por iniciar",IF(TODAY()&lt;=D11,"🟢 En proceso","🔴 Atrasado")))</f>
        <v>🟡 Por iniciar</v>
      </c>
      <c r="K11" t="s">
        <v>309</v>
      </c>
    </row>
    <row r="12" spans="1:11" x14ac:dyDescent="0.35">
      <c r="A12" s="15" t="s">
        <v>59</v>
      </c>
      <c r="B12" s="15" t="s">
        <v>61</v>
      </c>
      <c r="C12" s="9">
        <v>46141</v>
      </c>
      <c r="D12" s="9">
        <v>46141</v>
      </c>
      <c r="E12" s="10">
        <f t="shared" si="2"/>
        <v>1</v>
      </c>
      <c r="F12" s="6" t="s">
        <v>13</v>
      </c>
      <c r="G12" s="4"/>
      <c r="H12" s="4"/>
      <c r="I12" s="7" t="str">
        <f t="shared" ca="1" si="3"/>
        <v>🟡 Por iniciar</v>
      </c>
    </row>
    <row r="13" spans="1:11" x14ac:dyDescent="0.35">
      <c r="A13" s="15" t="s">
        <v>59</v>
      </c>
      <c r="B13" s="15" t="s">
        <v>62</v>
      </c>
      <c r="C13" s="9">
        <v>46155</v>
      </c>
      <c r="D13" s="9">
        <v>46155</v>
      </c>
      <c r="E13" s="10">
        <f t="shared" si="2"/>
        <v>1</v>
      </c>
      <c r="F13" s="6" t="s">
        <v>13</v>
      </c>
      <c r="G13" s="4"/>
      <c r="H13" s="4"/>
      <c r="I13" s="7" t="str">
        <f t="shared" ca="1" si="3"/>
        <v>🟡 Por iniciar</v>
      </c>
    </row>
    <row r="14" spans="1:11" x14ac:dyDescent="0.35">
      <c r="A14" s="15" t="s">
        <v>59</v>
      </c>
      <c r="B14" s="15" t="s">
        <v>63</v>
      </c>
      <c r="C14" s="9">
        <v>46196</v>
      </c>
      <c r="D14" s="9">
        <v>46198</v>
      </c>
      <c r="E14" s="10">
        <f t="shared" si="2"/>
        <v>3</v>
      </c>
      <c r="F14" s="6" t="s">
        <v>13</v>
      </c>
      <c r="G14" s="4"/>
      <c r="H14" s="4"/>
      <c r="I14" s="7" t="str">
        <f t="shared" ca="1" si="3"/>
        <v>🟡 Por iniciar</v>
      </c>
    </row>
    <row r="15" spans="1:11" x14ac:dyDescent="0.35">
      <c r="A15" s="15" t="s">
        <v>59</v>
      </c>
      <c r="B15" s="15" t="s">
        <v>38</v>
      </c>
      <c r="C15" s="9">
        <v>46202</v>
      </c>
      <c r="D15" s="9">
        <v>46208</v>
      </c>
      <c r="E15" s="10">
        <f t="shared" si="2"/>
        <v>5</v>
      </c>
      <c r="F15" s="6" t="s">
        <v>13</v>
      </c>
      <c r="G15" s="4"/>
      <c r="H15" s="4"/>
      <c r="I15" s="7" t="str">
        <f t="shared" ca="1" si="1"/>
        <v>🟡 Por iniciar</v>
      </c>
    </row>
    <row r="16" spans="1:11" x14ac:dyDescent="0.35">
      <c r="A16" s="15" t="s">
        <v>59</v>
      </c>
      <c r="B16" s="8" t="s">
        <v>55</v>
      </c>
      <c r="C16" s="3">
        <v>46202</v>
      </c>
      <c r="D16" s="3">
        <v>46203</v>
      </c>
      <c r="E16" s="4">
        <f t="shared" si="0"/>
        <v>2</v>
      </c>
      <c r="F16" s="6" t="s">
        <v>13</v>
      </c>
      <c r="G16" s="4"/>
      <c r="H16" s="4"/>
      <c r="I16" s="7" t="str">
        <f t="shared" ca="1" si="1"/>
        <v>🟡 Por iniciar</v>
      </c>
    </row>
    <row r="17" spans="1:9" x14ac:dyDescent="0.35">
      <c r="A17" s="15" t="s">
        <v>59</v>
      </c>
      <c r="B17" s="8" t="s">
        <v>43</v>
      </c>
      <c r="C17" s="3">
        <v>46203</v>
      </c>
      <c r="D17" s="3">
        <v>46207</v>
      </c>
      <c r="E17" s="4">
        <f t="shared" si="0"/>
        <v>4</v>
      </c>
      <c r="F17" s="6" t="s">
        <v>13</v>
      </c>
      <c r="G17" s="4"/>
      <c r="H17" s="4"/>
      <c r="I17" s="7" t="str">
        <f t="shared" ca="1" si="1"/>
        <v>🟡 Por iniciar</v>
      </c>
    </row>
    <row r="18" spans="1:9" x14ac:dyDescent="0.35">
      <c r="A18" s="15" t="s">
        <v>59</v>
      </c>
      <c r="B18" s="8" t="s">
        <v>44</v>
      </c>
      <c r="C18" s="3">
        <v>46204</v>
      </c>
      <c r="D18" s="3">
        <v>46208</v>
      </c>
      <c r="E18" s="4">
        <f t="shared" si="0"/>
        <v>3</v>
      </c>
      <c r="F18" s="6" t="s">
        <v>13</v>
      </c>
      <c r="G18" s="4"/>
      <c r="H18" s="4"/>
      <c r="I18" s="7" t="str">
        <f t="shared" ca="1" si="1"/>
        <v>🟡 Por iniciar</v>
      </c>
    </row>
    <row r="21" spans="1:9" x14ac:dyDescent="0.35">
      <c r="A21" s="18" t="s">
        <v>56</v>
      </c>
      <c r="B21" s="17" t="s">
        <v>64</v>
      </c>
    </row>
    <row r="24" spans="1:9" x14ac:dyDescent="0.35">
      <c r="B24" t="s">
        <v>65</v>
      </c>
      <c r="D24" s="19" t="s">
        <v>66</v>
      </c>
    </row>
    <row r="25" spans="1:9" x14ac:dyDescent="0.35">
      <c r="B25" s="19"/>
    </row>
    <row r="26" spans="1:9" x14ac:dyDescent="0.35">
      <c r="B26" t="s">
        <v>273</v>
      </c>
    </row>
  </sheetData>
  <phoneticPr fontId="6" type="noConversion"/>
  <conditionalFormatting sqref="C1 F1:F1048576">
    <cfRule type="containsText" dxfId="173" priority="1" operator="containsText" text="✅">
      <formula>NOT(ISERROR(SEARCH("✅",C1)))</formula>
    </cfRule>
  </conditionalFormatting>
  <conditionalFormatting sqref="C3:H18">
    <cfRule type="expression" dxfId="172" priority="2">
      <formula>$I3="🔴 Atrasado"</formula>
    </cfRule>
  </conditionalFormatting>
  <conditionalFormatting sqref="I1:I1048576">
    <cfRule type="containsText" dxfId="171" priority="4" operator="containsText" text="Completado">
      <formula>NOT(ISERROR(SEARCH("Completado",I1)))</formula>
    </cfRule>
    <cfRule type="containsText" dxfId="170" priority="5" operator="containsText" text="Atrasado">
      <formula>NOT(ISERROR(SEARCH("Atrasado",I1)))</formula>
    </cfRule>
    <cfRule type="containsText" dxfId="169" priority="6" operator="containsText" text="En proceso">
      <formula>NOT(ISERROR(SEARCH("En proceso",I1)))</formula>
    </cfRule>
    <cfRule type="containsText" dxfId="168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8" xr:uid="{4F0FAC59-C142-4785-A0DE-14F88EC07286}">
      <formula1>"✅,No,"</formula1>
    </dataValidation>
  </dataValidations>
  <hyperlinks>
    <hyperlink ref="D24" r:id="rId1" display="../../../../../../../:x:/g/personal/paulina_oliveros_ibero_mx/IQBSp41ggTzrQLRYcx9yOCr_AZ2pxMvGyjTbcCGGDDMyLSA?e=XZTUNq" xr:uid="{D798DCD9-78B2-4351-AD46-A58314B80036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87E1-52E4-4296-80FE-EBAC089B3769}">
  <dimension ref="A1:J25"/>
  <sheetViews>
    <sheetView workbookViewId="0">
      <selection activeCell="F26" sqref="F26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14.7265625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72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73</v>
      </c>
      <c r="B3" s="15" t="s">
        <v>12</v>
      </c>
      <c r="C3" s="9">
        <v>45950</v>
      </c>
      <c r="D3" s="11">
        <v>45960</v>
      </c>
      <c r="E3" s="10">
        <f t="shared" ref="E3:E16" si="0">NETWORKDAYS(C3,D3)</f>
        <v>9</v>
      </c>
      <c r="F3" s="6" t="s">
        <v>11</v>
      </c>
      <c r="G3" s="4"/>
      <c r="H3" s="4"/>
      <c r="I3" s="7" t="str">
        <f t="shared" ref="I3:I16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73</v>
      </c>
      <c r="B4" s="15" t="s">
        <v>14</v>
      </c>
      <c r="C4" s="9">
        <v>45951</v>
      </c>
      <c r="D4" s="11">
        <v>45961</v>
      </c>
      <c r="E4" s="10">
        <f t="shared" si="0"/>
        <v>9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73</v>
      </c>
      <c r="B5" s="15" t="s">
        <v>15</v>
      </c>
      <c r="C5" s="9">
        <v>45962</v>
      </c>
      <c r="D5" s="11">
        <v>45976</v>
      </c>
      <c r="E5" s="10">
        <f t="shared" si="0"/>
        <v>10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73</v>
      </c>
      <c r="B6" s="15" t="s">
        <v>16</v>
      </c>
      <c r="C6" s="9">
        <v>45950</v>
      </c>
      <c r="D6" s="11">
        <v>45961</v>
      </c>
      <c r="E6" s="10">
        <f t="shared" si="0"/>
        <v>10</v>
      </c>
      <c r="F6" s="6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73</v>
      </c>
      <c r="B7" s="15" t="s">
        <v>46</v>
      </c>
      <c r="C7" s="9">
        <f>MIN(C8)</f>
        <v>45950</v>
      </c>
      <c r="D7" s="11">
        <f>MAX(D8)</f>
        <v>45952</v>
      </c>
      <c r="E7" s="10">
        <f t="shared" si="0"/>
        <v>3</v>
      </c>
      <c r="F7" s="6" t="s">
        <v>11</v>
      </c>
      <c r="G7" s="4"/>
      <c r="H7" s="4"/>
      <c r="I7" s="7" t="str">
        <f t="shared" ca="1" si="1"/>
        <v>✅ Completado</v>
      </c>
    </row>
    <row r="8" spans="1:10" x14ac:dyDescent="0.35">
      <c r="A8" s="15" t="s">
        <v>73</v>
      </c>
      <c r="B8" s="8" t="s">
        <v>18</v>
      </c>
      <c r="C8" s="3">
        <v>45950</v>
      </c>
      <c r="D8" s="5">
        <v>45952</v>
      </c>
      <c r="E8" s="10">
        <f t="shared" si="0"/>
        <v>3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0" x14ac:dyDescent="0.35">
      <c r="A9" s="15" t="s">
        <v>73</v>
      </c>
      <c r="B9" s="15" t="s">
        <v>67</v>
      </c>
      <c r="C9" s="9">
        <v>46051</v>
      </c>
      <c r="D9" s="9">
        <v>46051</v>
      </c>
      <c r="E9" s="10">
        <f t="shared" si="0"/>
        <v>1</v>
      </c>
      <c r="F9" s="6" t="s">
        <v>11</v>
      </c>
      <c r="G9" s="4"/>
      <c r="H9" s="4"/>
      <c r="I9" s="7" t="str">
        <f t="shared" ca="1" si="1"/>
        <v>✅ Completado</v>
      </c>
    </row>
    <row r="10" spans="1:10" x14ac:dyDescent="0.35">
      <c r="A10" s="15" t="s">
        <v>73</v>
      </c>
      <c r="B10" s="15" t="s">
        <v>74</v>
      </c>
      <c r="C10" s="9">
        <v>46055</v>
      </c>
      <c r="D10" s="9">
        <v>46055</v>
      </c>
      <c r="E10" s="10">
        <f>NETWORKDAYS(C10,D10)</f>
        <v>1</v>
      </c>
      <c r="F10" s="6" t="s">
        <v>11</v>
      </c>
      <c r="G10" s="4"/>
      <c r="H10" s="4"/>
      <c r="I10" s="7" t="str">
        <f ca="1">IF(F10="✅","✅ Completado",IF(TODAY()&lt;C10,"🟡 Por iniciar",IF(TODAY()&lt;=D10,"🟢 En proceso","🔴 Atrasado")))</f>
        <v>✅ Completado</v>
      </c>
    </row>
    <row r="11" spans="1:10" x14ac:dyDescent="0.35">
      <c r="A11" s="15" t="s">
        <v>73</v>
      </c>
      <c r="B11" s="15" t="s">
        <v>75</v>
      </c>
      <c r="C11" s="9">
        <v>46090</v>
      </c>
      <c r="D11" s="9">
        <v>46101</v>
      </c>
      <c r="E11" s="10">
        <f>NETWORKDAYS(C11,D11)</f>
        <v>10</v>
      </c>
      <c r="F11" s="6" t="s">
        <v>11</v>
      </c>
      <c r="G11" s="4"/>
      <c r="H11" s="4"/>
      <c r="I11" s="7" t="str">
        <f ca="1">IF(F11="✅","✅ Completado",IF(TODAY()&lt;C11,"🟡 Por iniciar",IF(TODAY()&lt;=D11,"🟢 En proceso","🔴 Atrasado")))</f>
        <v>✅ Completado</v>
      </c>
    </row>
    <row r="12" spans="1:10" x14ac:dyDescent="0.35">
      <c r="A12" s="15" t="s">
        <v>73</v>
      </c>
      <c r="B12" s="15" t="s">
        <v>68</v>
      </c>
      <c r="C12" s="9">
        <v>46150</v>
      </c>
      <c r="D12" s="9">
        <v>46150</v>
      </c>
      <c r="E12" s="10">
        <f>NETWORKDAYS(C12,D12)</f>
        <v>1</v>
      </c>
      <c r="F12" s="6" t="s">
        <v>13</v>
      </c>
      <c r="G12" s="4"/>
      <c r="H12" s="4"/>
      <c r="I12" s="7" t="str">
        <f ca="1">IF(F12="✅","✅ Completado",IF(TODAY()&lt;C12,"🟡 Por iniciar",IF(TODAY()&lt;=D12,"🟢 En proceso","🔴 Atrasado")))</f>
        <v>🟡 Por iniciar</v>
      </c>
    </row>
    <row r="13" spans="1:10" x14ac:dyDescent="0.35">
      <c r="A13" s="15" t="s">
        <v>73</v>
      </c>
      <c r="B13" s="15" t="s">
        <v>38</v>
      </c>
      <c r="C13" s="9">
        <v>46153</v>
      </c>
      <c r="D13" s="9">
        <v>46154</v>
      </c>
      <c r="E13" s="10">
        <f>NETWORKDAYS(C13,D13)</f>
        <v>2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73</v>
      </c>
      <c r="B14" s="8" t="s">
        <v>39</v>
      </c>
      <c r="C14" s="3">
        <v>46153</v>
      </c>
      <c r="D14" s="3">
        <v>46154</v>
      </c>
      <c r="E14" s="4">
        <f t="shared" si="0"/>
        <v>2</v>
      </c>
      <c r="F14" s="6" t="s">
        <v>13</v>
      </c>
      <c r="G14" s="4"/>
      <c r="H14" s="4"/>
      <c r="I14" s="7" t="str">
        <f t="shared" ca="1" si="1"/>
        <v>🟡 Por iniciar</v>
      </c>
    </row>
    <row r="15" spans="1:10" x14ac:dyDescent="0.35">
      <c r="A15" s="15" t="s">
        <v>73</v>
      </c>
      <c r="B15" s="8" t="s">
        <v>43</v>
      </c>
      <c r="C15" s="3">
        <v>46154</v>
      </c>
      <c r="D15" s="3">
        <v>46155</v>
      </c>
      <c r="E15" s="4">
        <f t="shared" si="0"/>
        <v>2</v>
      </c>
      <c r="F15" s="6" t="s">
        <v>13</v>
      </c>
      <c r="G15" s="4"/>
      <c r="H15" s="4"/>
      <c r="I15" s="7" t="str">
        <f t="shared" ca="1" si="1"/>
        <v>🟡 Por iniciar</v>
      </c>
    </row>
    <row r="16" spans="1:10" x14ac:dyDescent="0.35">
      <c r="A16" s="15" t="s">
        <v>73</v>
      </c>
      <c r="B16" s="8" t="s">
        <v>44</v>
      </c>
      <c r="C16" s="3">
        <v>46155</v>
      </c>
      <c r="D16" s="3">
        <v>46156</v>
      </c>
      <c r="E16" s="4">
        <f t="shared" si="0"/>
        <v>2</v>
      </c>
      <c r="F16" s="6" t="s">
        <v>13</v>
      </c>
      <c r="G16" s="4"/>
      <c r="H16" s="4"/>
      <c r="I16" s="7" t="str">
        <f t="shared" ca="1" si="1"/>
        <v>🟡 Por iniciar</v>
      </c>
    </row>
    <row r="19" spans="1:5" x14ac:dyDescent="0.35">
      <c r="A19" s="18" t="s">
        <v>56</v>
      </c>
      <c r="B19" s="17" t="s">
        <v>76</v>
      </c>
    </row>
    <row r="20" spans="1:5" x14ac:dyDescent="0.35">
      <c r="B20" t="s">
        <v>77</v>
      </c>
    </row>
    <row r="23" spans="1:5" x14ac:dyDescent="0.35">
      <c r="C23" t="s">
        <v>71</v>
      </c>
      <c r="D23"/>
      <c r="E23" s="19"/>
    </row>
    <row r="25" spans="1:5" x14ac:dyDescent="0.35">
      <c r="C25" s="19" t="s">
        <v>78</v>
      </c>
    </row>
  </sheetData>
  <conditionalFormatting sqref="C1">
    <cfRule type="containsText" dxfId="167" priority="1" operator="containsText" text="✅">
      <formula>NOT(ISERROR(SEARCH("✅",C1)))</formula>
    </cfRule>
  </conditionalFormatting>
  <conditionalFormatting sqref="C3:H16">
    <cfRule type="expression" dxfId="166" priority="2">
      <formula>$I3="🔴 Atrasado"</formula>
    </cfRule>
  </conditionalFormatting>
  <conditionalFormatting sqref="F1:F1048576">
    <cfRule type="containsText" dxfId="165" priority="3" operator="containsText" text="✅">
      <formula>NOT(ISERROR(SEARCH("✅",F1)))</formula>
    </cfRule>
  </conditionalFormatting>
  <conditionalFormatting sqref="I1:I1048576">
    <cfRule type="containsText" dxfId="164" priority="4" operator="containsText" text="Completado">
      <formula>NOT(ISERROR(SEARCH("Completado",I1)))</formula>
    </cfRule>
    <cfRule type="containsText" dxfId="163" priority="5" operator="containsText" text="Atrasado">
      <formula>NOT(ISERROR(SEARCH("Atrasado",I1)))</formula>
    </cfRule>
    <cfRule type="containsText" dxfId="162" priority="6" operator="containsText" text="En proceso">
      <formula>NOT(ISERROR(SEARCH("En proceso",I1)))</formula>
    </cfRule>
    <cfRule type="containsText" dxfId="161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6" xr:uid="{0E948B2D-9650-4899-A63D-BE66725DF0F0}">
      <formula1>"✅,No,"</formula1>
    </dataValidation>
  </dataValidations>
  <hyperlinks>
    <hyperlink ref="C25" r:id="rId1" display="../../../../../../../:x:/g/personal/paulina_oliveros_ibero_mx/IQA-I1XvgfqaToFINYKGx2b1AfzqaFKMzVaA3yYdFioUj9k?e=64yD6E" xr:uid="{0D37FFAB-737B-43E3-BD31-C1273BFBCA61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AC4C-DC6A-4485-ADD9-DA025A4A2DB5}">
  <dimension ref="A1:J26"/>
  <sheetViews>
    <sheetView workbookViewId="0">
      <selection activeCell="B28" sqref="B28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28.81640625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79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79</v>
      </c>
      <c r="B3" s="15" t="s">
        <v>12</v>
      </c>
      <c r="C3" s="9">
        <v>45950</v>
      </c>
      <c r="D3" s="11">
        <v>45960</v>
      </c>
      <c r="E3" s="10">
        <f t="shared" ref="E3:E16" si="0">NETWORKDAYS(C3,D3)</f>
        <v>9</v>
      </c>
      <c r="F3" s="6" t="s">
        <v>11</v>
      </c>
      <c r="G3" s="4"/>
      <c r="H3" s="4"/>
      <c r="I3" s="7" t="str">
        <f t="shared" ref="I3:I16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79</v>
      </c>
      <c r="B4" s="15" t="s">
        <v>14</v>
      </c>
      <c r="C4" s="9">
        <v>45950</v>
      </c>
      <c r="D4" s="11">
        <v>45960</v>
      </c>
      <c r="E4" s="10">
        <f t="shared" si="0"/>
        <v>9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79</v>
      </c>
      <c r="B5" s="15" t="s">
        <v>80</v>
      </c>
      <c r="C5" s="9">
        <v>45981</v>
      </c>
      <c r="D5" s="11">
        <v>45982</v>
      </c>
      <c r="E5" s="10">
        <f t="shared" si="0"/>
        <v>2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79</v>
      </c>
      <c r="B6" s="15" t="s">
        <v>15</v>
      </c>
      <c r="C6" s="9">
        <v>45981</v>
      </c>
      <c r="D6" s="11">
        <v>45982</v>
      </c>
      <c r="E6" s="10">
        <f t="shared" si="0"/>
        <v>2</v>
      </c>
      <c r="F6" s="6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79</v>
      </c>
      <c r="B7" s="15" t="s">
        <v>16</v>
      </c>
      <c r="C7" s="9">
        <v>45979</v>
      </c>
      <c r="D7" s="11">
        <v>45989</v>
      </c>
      <c r="E7" s="10">
        <f t="shared" si="0"/>
        <v>9</v>
      </c>
      <c r="F7" s="6" t="s">
        <v>11</v>
      </c>
      <c r="G7" s="4"/>
      <c r="H7" s="4"/>
      <c r="I7" s="7" t="str">
        <f t="shared" ca="1" si="1"/>
        <v>✅ Completado</v>
      </c>
    </row>
    <row r="8" spans="1:10" x14ac:dyDescent="0.35">
      <c r="A8" s="15" t="s">
        <v>79</v>
      </c>
      <c r="B8" s="15" t="s">
        <v>46</v>
      </c>
      <c r="C8" s="9">
        <v>45987</v>
      </c>
      <c r="D8" s="11">
        <v>45989</v>
      </c>
      <c r="E8" s="10">
        <f t="shared" si="0"/>
        <v>3</v>
      </c>
      <c r="F8" s="6" t="s">
        <v>11</v>
      </c>
      <c r="G8" s="4"/>
      <c r="H8" s="4"/>
      <c r="I8" s="7" t="str">
        <f t="shared" ca="1" si="1"/>
        <v>✅ Completado</v>
      </c>
    </row>
    <row r="9" spans="1:10" x14ac:dyDescent="0.35">
      <c r="A9" s="15" t="s">
        <v>79</v>
      </c>
      <c r="B9" s="8" t="s">
        <v>18</v>
      </c>
      <c r="C9" s="3">
        <v>45987</v>
      </c>
      <c r="D9" s="3">
        <v>45989</v>
      </c>
      <c r="E9" s="10">
        <f t="shared" si="0"/>
        <v>3</v>
      </c>
      <c r="F9" s="6" t="s">
        <v>11</v>
      </c>
      <c r="G9" s="4"/>
      <c r="H9" s="4"/>
      <c r="I9" s="7" t="str">
        <f t="shared" ca="1" si="1"/>
        <v>✅ Completado</v>
      </c>
      <c r="J9" t="s">
        <v>47</v>
      </c>
    </row>
    <row r="10" spans="1:10" x14ac:dyDescent="0.35">
      <c r="A10" s="15" t="s">
        <v>79</v>
      </c>
      <c r="B10" s="15" t="s">
        <v>67</v>
      </c>
      <c r="C10" s="9">
        <v>45991</v>
      </c>
      <c r="D10" s="9">
        <v>45991</v>
      </c>
      <c r="E10" s="10">
        <f t="shared" si="0"/>
        <v>0</v>
      </c>
      <c r="F10" s="6" t="s">
        <v>11</v>
      </c>
      <c r="G10" s="4"/>
      <c r="H10" s="4"/>
      <c r="I10" s="7" t="str">
        <f t="shared" ca="1" si="1"/>
        <v>✅ Completado</v>
      </c>
    </row>
    <row r="11" spans="1:10" x14ac:dyDescent="0.35">
      <c r="A11" s="15" t="s">
        <v>79</v>
      </c>
      <c r="B11" s="15" t="s">
        <v>74</v>
      </c>
      <c r="C11" s="9">
        <v>45991</v>
      </c>
      <c r="D11" s="9">
        <v>45991</v>
      </c>
      <c r="E11" s="10">
        <f>NETWORKDAYS(C11,D11)</f>
        <v>0</v>
      </c>
      <c r="F11" s="6" t="s">
        <v>11</v>
      </c>
      <c r="G11" s="4"/>
      <c r="H11" s="4"/>
      <c r="I11" s="7" t="str">
        <f ca="1">IF(F11="✅","✅ Completado",IF(TODAY()&lt;C11,"🟡 Por iniciar",IF(TODAY()&lt;=D11,"🟢 En proceso","🔴 Atrasado")))</f>
        <v>✅ Completado</v>
      </c>
    </row>
    <row r="12" spans="1:10" x14ac:dyDescent="0.35">
      <c r="A12" s="15" t="s">
        <v>79</v>
      </c>
      <c r="B12" s="15" t="s">
        <v>81</v>
      </c>
      <c r="C12" s="9">
        <v>46162</v>
      </c>
      <c r="D12" s="9">
        <v>46172</v>
      </c>
      <c r="E12" s="10">
        <f>NETWORKDAYS(C12,D12)</f>
        <v>8</v>
      </c>
      <c r="F12" s="6" t="s">
        <v>13</v>
      </c>
      <c r="G12" s="4"/>
      <c r="H12" s="4" t="s">
        <v>82</v>
      </c>
      <c r="I12" s="7" t="str">
        <f ca="1">IF(F12="✅","✅ Completado",IF(TODAY()&lt;C12,"🟡 Por iniciar",IF(TODAY()&lt;=D12,"🟢 En proceso","🔴 Atrasado")))</f>
        <v>🟡 Por iniciar</v>
      </c>
    </row>
    <row r="13" spans="1:10" x14ac:dyDescent="0.35">
      <c r="A13" s="15" t="s">
        <v>79</v>
      </c>
      <c r="B13" s="15" t="s">
        <v>38</v>
      </c>
      <c r="C13" s="9">
        <v>46184</v>
      </c>
      <c r="D13" s="9">
        <v>46185</v>
      </c>
      <c r="E13" s="10">
        <f>NETWORKDAYS(C13,D13)</f>
        <v>2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79</v>
      </c>
      <c r="B14" s="8" t="s">
        <v>55</v>
      </c>
      <c r="C14" s="9">
        <v>46185</v>
      </c>
      <c r="D14" s="9">
        <v>46186</v>
      </c>
      <c r="E14" s="4">
        <f t="shared" si="0"/>
        <v>1</v>
      </c>
      <c r="F14" s="6" t="s">
        <v>13</v>
      </c>
      <c r="G14" s="4"/>
      <c r="H14" s="4"/>
      <c r="I14" s="7" t="str">
        <f t="shared" ca="1" si="1"/>
        <v>🟡 Por iniciar</v>
      </c>
    </row>
    <row r="15" spans="1:10" x14ac:dyDescent="0.35">
      <c r="A15" s="15" t="s">
        <v>79</v>
      </c>
      <c r="B15" s="8" t="s">
        <v>43</v>
      </c>
      <c r="C15" s="9">
        <v>46186</v>
      </c>
      <c r="D15" s="9">
        <v>46187</v>
      </c>
      <c r="E15" s="4">
        <f t="shared" si="0"/>
        <v>0</v>
      </c>
      <c r="F15" s="6" t="s">
        <v>13</v>
      </c>
      <c r="G15" s="4"/>
      <c r="H15" s="4"/>
      <c r="I15" s="7" t="str">
        <f t="shared" ca="1" si="1"/>
        <v>🟡 Por iniciar</v>
      </c>
    </row>
    <row r="16" spans="1:10" x14ac:dyDescent="0.35">
      <c r="A16" s="15" t="s">
        <v>79</v>
      </c>
      <c r="B16" s="8" t="s">
        <v>44</v>
      </c>
      <c r="C16" s="9">
        <v>46187</v>
      </c>
      <c r="D16" s="9">
        <v>46188</v>
      </c>
      <c r="E16" s="4">
        <f t="shared" si="0"/>
        <v>1</v>
      </c>
      <c r="F16" s="6" t="s">
        <v>13</v>
      </c>
      <c r="G16" s="4"/>
      <c r="H16" s="4"/>
      <c r="I16" s="7" t="str">
        <f t="shared" ca="1" si="1"/>
        <v>🟡 Por iniciar</v>
      </c>
    </row>
    <row r="19" spans="1:2" x14ac:dyDescent="0.35">
      <c r="A19" s="18" t="s">
        <v>56</v>
      </c>
      <c r="B19" s="17" t="s">
        <v>83</v>
      </c>
    </row>
    <row r="23" spans="1:2" x14ac:dyDescent="0.35">
      <c r="A23" t="s">
        <v>84</v>
      </c>
      <c r="B23" s="19" t="s">
        <v>85</v>
      </c>
    </row>
    <row r="26" spans="1:2" x14ac:dyDescent="0.35">
      <c r="B26" t="s">
        <v>307</v>
      </c>
    </row>
  </sheetData>
  <conditionalFormatting sqref="C1">
    <cfRule type="containsText" dxfId="160" priority="1" operator="containsText" text="✅">
      <formula>NOT(ISERROR(SEARCH("✅",C1)))</formula>
    </cfRule>
  </conditionalFormatting>
  <conditionalFormatting sqref="C3:H16">
    <cfRule type="expression" dxfId="159" priority="2">
      <formula>$I3="🔴 Atrasado"</formula>
    </cfRule>
  </conditionalFormatting>
  <conditionalFormatting sqref="F1:F1048576">
    <cfRule type="containsText" dxfId="158" priority="3" operator="containsText" text="✅">
      <formula>NOT(ISERROR(SEARCH("✅",F1)))</formula>
    </cfRule>
  </conditionalFormatting>
  <conditionalFormatting sqref="I1:I1048576">
    <cfRule type="containsText" dxfId="157" priority="4" operator="containsText" text="Completado">
      <formula>NOT(ISERROR(SEARCH("Completado",I1)))</formula>
    </cfRule>
    <cfRule type="containsText" dxfId="156" priority="5" operator="containsText" text="Atrasado">
      <formula>NOT(ISERROR(SEARCH("Atrasado",I1)))</formula>
    </cfRule>
    <cfRule type="containsText" dxfId="155" priority="6" operator="containsText" text="En proceso">
      <formula>NOT(ISERROR(SEARCH("En proceso",I1)))</formula>
    </cfRule>
    <cfRule type="containsText" dxfId="154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6" xr:uid="{9780AAAB-8C80-4F7D-BD8E-DFA88654BF57}">
      <formula1>"✅,No,"</formula1>
    </dataValidation>
  </dataValidations>
  <hyperlinks>
    <hyperlink ref="B23" r:id="rId1" display="../../../../../../../:x:/g/personal/paulina_oliveros_ibero_mx/IQAnTBVbeCfYRKlh7P7ajsxfAZLiSHvvcvJI3vKp8xKPWH4?e=yMgMt8" xr:uid="{0C7AD6D3-F9DF-4438-AA12-6501999F9EC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15BF-E646-48C6-860D-49FFB3D3B65C}">
  <dimension ref="A1:J28"/>
  <sheetViews>
    <sheetView topLeftCell="B1" workbookViewId="0">
      <selection activeCell="F32" sqref="F31:F32"/>
    </sheetView>
  </sheetViews>
  <sheetFormatPr baseColWidth="10" defaultColWidth="8.81640625" defaultRowHeight="14.5" x14ac:dyDescent="0.35"/>
  <cols>
    <col min="1" max="1" width="35.453125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28.81640625" customWidth="1"/>
    <col min="9" max="9" width="16.81640625" bestFit="1" customWidth="1"/>
    <col min="11" max="11" width="11.26953125" bestFit="1" customWidth="1"/>
  </cols>
  <sheetData>
    <row r="1" spans="1:10" ht="30" customHeight="1" x14ac:dyDescent="0.35">
      <c r="B1" s="20" t="s">
        <v>86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86</v>
      </c>
      <c r="B3" s="15" t="s">
        <v>12</v>
      </c>
      <c r="C3" s="9">
        <v>45950</v>
      </c>
      <c r="D3" s="11">
        <v>45960</v>
      </c>
      <c r="E3" s="10">
        <f t="shared" ref="E3:E21" si="0">NETWORKDAYS(C3,D3)</f>
        <v>9</v>
      </c>
      <c r="F3" s="6" t="s">
        <v>11</v>
      </c>
      <c r="G3" s="4"/>
      <c r="H3" s="4"/>
      <c r="I3" s="7" t="str">
        <f t="shared" ref="I3:I21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86</v>
      </c>
      <c r="B4" s="15" t="s">
        <v>14</v>
      </c>
      <c r="C4" s="9">
        <v>45950</v>
      </c>
      <c r="D4" s="11">
        <v>45960</v>
      </c>
      <c r="E4" s="10">
        <f t="shared" si="0"/>
        <v>9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86</v>
      </c>
      <c r="B5" s="15" t="s">
        <v>15</v>
      </c>
      <c r="C5" s="9">
        <v>45981</v>
      </c>
      <c r="D5" s="11">
        <v>45982</v>
      </c>
      <c r="E5" s="10">
        <f t="shared" si="0"/>
        <v>2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86</v>
      </c>
      <c r="B6" s="15" t="s">
        <v>16</v>
      </c>
      <c r="C6" s="9">
        <v>45979</v>
      </c>
      <c r="D6" s="11">
        <v>45989</v>
      </c>
      <c r="E6" s="10">
        <f t="shared" si="0"/>
        <v>9</v>
      </c>
      <c r="F6" s="6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86</v>
      </c>
      <c r="B7" s="15" t="s">
        <v>46</v>
      </c>
      <c r="C7" s="9">
        <v>45992</v>
      </c>
      <c r="D7" s="11">
        <v>45992</v>
      </c>
      <c r="E7" s="10">
        <f t="shared" si="0"/>
        <v>1</v>
      </c>
      <c r="F7" s="6" t="s">
        <v>11</v>
      </c>
      <c r="G7" s="4"/>
      <c r="H7" s="4"/>
      <c r="I7" s="7" t="str">
        <f t="shared" ca="1" si="1"/>
        <v>✅ Completado</v>
      </c>
    </row>
    <row r="8" spans="1:10" x14ac:dyDescent="0.35">
      <c r="A8" s="15" t="s">
        <v>86</v>
      </c>
      <c r="B8" s="8" t="s">
        <v>87</v>
      </c>
      <c r="C8" s="9">
        <v>45992</v>
      </c>
      <c r="D8" s="11">
        <v>45992</v>
      </c>
      <c r="E8" s="10">
        <f t="shared" si="0"/>
        <v>1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0" x14ac:dyDescent="0.35">
      <c r="A9" s="15" t="s">
        <v>86</v>
      </c>
      <c r="B9" s="15" t="s">
        <v>67</v>
      </c>
      <c r="C9" s="9">
        <v>45996</v>
      </c>
      <c r="D9" s="11">
        <v>45996</v>
      </c>
      <c r="E9" s="10">
        <f t="shared" si="0"/>
        <v>1</v>
      </c>
      <c r="F9" s="6" t="s">
        <v>11</v>
      </c>
      <c r="G9" s="4"/>
      <c r="H9" s="4"/>
      <c r="I9" s="7" t="str">
        <f t="shared" ca="1" si="1"/>
        <v>✅ Completado</v>
      </c>
    </row>
    <row r="10" spans="1:10" x14ac:dyDescent="0.35">
      <c r="A10" s="15" t="s">
        <v>86</v>
      </c>
      <c r="B10" s="15" t="s">
        <v>88</v>
      </c>
      <c r="C10" s="9">
        <v>46054</v>
      </c>
      <c r="D10" s="9">
        <v>46054</v>
      </c>
      <c r="E10" s="10">
        <f>NETWORKDAYS(C10,D10)</f>
        <v>0</v>
      </c>
      <c r="F10" s="6" t="s">
        <v>11</v>
      </c>
      <c r="G10" s="4"/>
      <c r="H10" s="4"/>
      <c r="I10" s="7" t="str">
        <f t="shared" ca="1" si="1"/>
        <v>✅ Completado</v>
      </c>
    </row>
    <row r="11" spans="1:10" x14ac:dyDescent="0.35">
      <c r="A11" s="15" t="s">
        <v>86</v>
      </c>
      <c r="B11" s="15" t="s">
        <v>89</v>
      </c>
      <c r="C11" s="9">
        <v>46077</v>
      </c>
      <c r="D11" s="9">
        <v>46077</v>
      </c>
      <c r="E11" s="10">
        <f>NETWORKDAYS(C11,D11)</f>
        <v>1</v>
      </c>
      <c r="F11" s="6" t="s">
        <v>11</v>
      </c>
      <c r="G11" s="4"/>
      <c r="H11" s="4"/>
      <c r="I11" s="7" t="str">
        <f ca="1">IF(F11="✅","✅ Completado",IF(TODAY()&lt;C11,"🟡 Por iniciar",IF(TODAY()&lt;=D11,"🟢 En proceso","🔴 Atrasado")))</f>
        <v>✅ Completado</v>
      </c>
    </row>
    <row r="12" spans="1:10" x14ac:dyDescent="0.35">
      <c r="A12" s="15" t="s">
        <v>86</v>
      </c>
      <c r="B12" s="15" t="s">
        <v>90</v>
      </c>
      <c r="C12" s="9">
        <v>46113</v>
      </c>
      <c r="D12" s="9">
        <v>46113</v>
      </c>
      <c r="E12" s="10">
        <f>NETWORKDAYS(C12,D12)</f>
        <v>1</v>
      </c>
      <c r="F12" s="6" t="s">
        <v>11</v>
      </c>
      <c r="G12" s="4"/>
      <c r="H12" s="4"/>
      <c r="I12" s="7" t="str">
        <f ca="1">IF(F12="✅","✅ Completado",IF(TODAY()&lt;C12,"🟡 Por iniciar",IF(TODAY()&lt;=D12,"🟢 En proceso","🔴 Atrasado")))</f>
        <v>✅ Completado</v>
      </c>
    </row>
    <row r="13" spans="1:10" x14ac:dyDescent="0.35">
      <c r="A13" s="15"/>
      <c r="B13" s="15" t="s">
        <v>175</v>
      </c>
      <c r="C13" s="9">
        <v>46125</v>
      </c>
      <c r="D13" s="9">
        <v>46127</v>
      </c>
      <c r="E13" s="10">
        <f t="shared" ref="E13:E15" si="2">NETWORKDAYS(C13,D13)</f>
        <v>3</v>
      </c>
      <c r="F13" s="6" t="s">
        <v>11</v>
      </c>
      <c r="G13" s="4"/>
      <c r="H13" s="4"/>
      <c r="I13" s="7" t="str">
        <f t="shared" ref="I13:I15" ca="1" si="3">IF(F13="✅","✅ Completado",IF(TODAY()&lt;C13,"🟡 Por iniciar",IF(TODAY()&lt;=D13,"🟢 En proceso","🔴 Atrasado")))</f>
        <v>✅ Completado</v>
      </c>
    </row>
    <row r="14" spans="1:10" x14ac:dyDescent="0.35">
      <c r="A14" s="15"/>
      <c r="B14" s="15" t="s">
        <v>274</v>
      </c>
      <c r="C14" s="9">
        <v>46125</v>
      </c>
      <c r="D14" s="9">
        <v>46127</v>
      </c>
      <c r="E14" s="10">
        <f t="shared" si="2"/>
        <v>3</v>
      </c>
      <c r="F14" s="6" t="s">
        <v>11</v>
      </c>
      <c r="G14" s="4"/>
      <c r="H14" s="4"/>
      <c r="I14" s="7" t="str">
        <f t="shared" ca="1" si="3"/>
        <v>✅ Completado</v>
      </c>
    </row>
    <row r="15" spans="1:10" x14ac:dyDescent="0.35">
      <c r="A15" s="15"/>
      <c r="B15" s="15" t="s">
        <v>275</v>
      </c>
      <c r="C15" s="9">
        <v>46125</v>
      </c>
      <c r="D15" s="9">
        <v>46127</v>
      </c>
      <c r="E15" s="10">
        <f t="shared" si="2"/>
        <v>3</v>
      </c>
      <c r="F15" s="6" t="s">
        <v>11</v>
      </c>
      <c r="G15" s="4"/>
      <c r="H15" s="4"/>
      <c r="I15" s="7" t="str">
        <f t="shared" ca="1" si="3"/>
        <v>✅ Completado</v>
      </c>
    </row>
    <row r="16" spans="1:10" x14ac:dyDescent="0.35">
      <c r="A16" s="15"/>
      <c r="B16" s="15" t="s">
        <v>305</v>
      </c>
      <c r="C16" s="9">
        <v>46128</v>
      </c>
      <c r="D16" s="9">
        <v>46138</v>
      </c>
      <c r="E16" s="10">
        <f t="shared" ref="E16" si="4">NETWORKDAYS(C16,D16)</f>
        <v>7</v>
      </c>
      <c r="F16" s="6" t="s">
        <v>13</v>
      </c>
      <c r="G16" s="4"/>
      <c r="H16" s="4"/>
      <c r="I16" s="7" t="str">
        <f t="shared" ref="I16" ca="1" si="5">IF(F16="✅","✅ Completado",IF(TODAY()&lt;C16,"🟡 Por iniciar",IF(TODAY()&lt;=D16,"🟢 En proceso","🔴 Atrasado")))</f>
        <v>🟢 En proceso</v>
      </c>
    </row>
    <row r="17" spans="1:9" x14ac:dyDescent="0.35">
      <c r="A17" s="15" t="s">
        <v>86</v>
      </c>
      <c r="B17" s="15" t="s">
        <v>68</v>
      </c>
      <c r="C17" s="9">
        <v>46133</v>
      </c>
      <c r="D17" s="9">
        <v>46133</v>
      </c>
      <c r="E17" s="10">
        <f>NETWORKDAYS(C17,D17)</f>
        <v>1</v>
      </c>
      <c r="F17" s="6" t="s">
        <v>13</v>
      </c>
      <c r="G17" s="4"/>
      <c r="H17" s="4"/>
      <c r="I17" s="7" t="str">
        <f ca="1">IF(F17="✅","✅ Completado",IF(TODAY()&lt;C17,"🟡 Por iniciar",IF(TODAY()&lt;=D17,"🟢 En proceso","🔴 Atrasado")))</f>
        <v>🟡 Por iniciar</v>
      </c>
    </row>
    <row r="18" spans="1:9" x14ac:dyDescent="0.35">
      <c r="A18" s="15" t="s">
        <v>86</v>
      </c>
      <c r="B18" s="15" t="s">
        <v>38</v>
      </c>
      <c r="C18" s="9">
        <v>46139</v>
      </c>
      <c r="D18" s="9">
        <v>46142</v>
      </c>
      <c r="E18" s="10">
        <f>NETWORKDAYS(C18,D18)</f>
        <v>4</v>
      </c>
      <c r="F18" s="6" t="s">
        <v>13</v>
      </c>
      <c r="G18" s="4"/>
      <c r="H18" s="4"/>
      <c r="I18" s="7" t="str">
        <f t="shared" ca="1" si="1"/>
        <v>🟡 Por iniciar</v>
      </c>
    </row>
    <row r="19" spans="1:9" x14ac:dyDescent="0.35">
      <c r="A19" s="15" t="s">
        <v>86</v>
      </c>
      <c r="B19" s="8" t="s">
        <v>55</v>
      </c>
      <c r="C19" s="9">
        <v>46140</v>
      </c>
      <c r="D19" s="9">
        <v>46143</v>
      </c>
      <c r="E19" s="4">
        <f t="shared" si="0"/>
        <v>4</v>
      </c>
      <c r="F19" s="6" t="s">
        <v>13</v>
      </c>
      <c r="G19" s="4"/>
      <c r="H19" s="4"/>
      <c r="I19" s="7" t="str">
        <f t="shared" ca="1" si="1"/>
        <v>🟡 Por iniciar</v>
      </c>
    </row>
    <row r="20" spans="1:9" x14ac:dyDescent="0.35">
      <c r="A20" s="15" t="s">
        <v>86</v>
      </c>
      <c r="B20" s="8" t="s">
        <v>43</v>
      </c>
      <c r="C20" s="9">
        <v>46141</v>
      </c>
      <c r="D20" s="9">
        <v>46144</v>
      </c>
      <c r="E20" s="4">
        <f t="shared" si="0"/>
        <v>3</v>
      </c>
      <c r="F20" s="6" t="s">
        <v>13</v>
      </c>
      <c r="G20" s="4"/>
      <c r="H20" s="4"/>
      <c r="I20" s="7" t="str">
        <f t="shared" ca="1" si="1"/>
        <v>🟡 Por iniciar</v>
      </c>
    </row>
    <row r="21" spans="1:9" x14ac:dyDescent="0.35">
      <c r="A21" s="15" t="s">
        <v>86</v>
      </c>
      <c r="B21" s="8" t="s">
        <v>44</v>
      </c>
      <c r="C21" s="9">
        <v>46142</v>
      </c>
      <c r="D21" s="9">
        <v>46145</v>
      </c>
      <c r="E21" s="4">
        <f t="shared" si="0"/>
        <v>2</v>
      </c>
      <c r="F21" s="6" t="s">
        <v>13</v>
      </c>
      <c r="G21" s="4"/>
      <c r="H21" s="4"/>
      <c r="I21" s="7" t="str">
        <f t="shared" ca="1" si="1"/>
        <v>🟡 Por iniciar</v>
      </c>
    </row>
    <row r="24" spans="1:9" x14ac:dyDescent="0.35">
      <c r="A24" s="18" t="s">
        <v>56</v>
      </c>
      <c r="B24" s="17" t="s">
        <v>91</v>
      </c>
    </row>
    <row r="27" spans="1:9" x14ac:dyDescent="0.35">
      <c r="B27" s="19"/>
    </row>
    <row r="28" spans="1:9" x14ac:dyDescent="0.35">
      <c r="B28" s="22" t="s">
        <v>92</v>
      </c>
      <c r="D28" s="1" t="s">
        <v>276</v>
      </c>
    </row>
  </sheetData>
  <phoneticPr fontId="6" type="noConversion"/>
  <conditionalFormatting sqref="C1 F1:F1048576">
    <cfRule type="containsText" dxfId="153" priority="1" operator="containsText" text="✅">
      <formula>NOT(ISERROR(SEARCH("✅",C1)))</formula>
    </cfRule>
  </conditionalFormatting>
  <conditionalFormatting sqref="C3:H21">
    <cfRule type="expression" dxfId="152" priority="2">
      <formula>$I3="🔴 Atrasado"</formula>
    </cfRule>
  </conditionalFormatting>
  <conditionalFormatting sqref="I1:I1048576">
    <cfRule type="containsText" dxfId="151" priority="4" operator="containsText" text="Completado">
      <formula>NOT(ISERROR(SEARCH("Completado",I1)))</formula>
    </cfRule>
    <cfRule type="containsText" dxfId="150" priority="5" operator="containsText" text="Atrasado">
      <formula>NOT(ISERROR(SEARCH("Atrasado",I1)))</formula>
    </cfRule>
    <cfRule type="containsText" dxfId="149" priority="6" operator="containsText" text="En proceso">
      <formula>NOT(ISERROR(SEARCH("En proceso",I1)))</formula>
    </cfRule>
    <cfRule type="containsText" dxfId="148" priority="7" operator="containsText" text="Por iniciar">
      <formula>NOT(ISERROR(SEARCH("Por iniciar",I1)))</formula>
    </cfRule>
  </conditionalFormatting>
  <dataValidations count="1">
    <dataValidation type="list" showInputMessage="1" showErrorMessage="1" sqref="F3:F21" xr:uid="{D28435D8-C7D8-40BD-ADA7-81364B056811}">
      <formula1>"✅,No,"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D3D2-898C-4FC0-89CE-D25A1841FBEF}">
  <dimension ref="A1:J23"/>
  <sheetViews>
    <sheetView workbookViewId="0">
      <selection activeCell="B21" sqref="B21"/>
    </sheetView>
  </sheetViews>
  <sheetFormatPr baseColWidth="10" defaultColWidth="8.81640625" defaultRowHeight="14.5" x14ac:dyDescent="0.35"/>
  <cols>
    <col min="1" max="1" width="35.453125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28.81640625" customWidth="1"/>
    <col min="9" max="9" width="16.81640625" bestFit="1" customWidth="1"/>
    <col min="11" max="11" width="11.26953125" bestFit="1" customWidth="1"/>
  </cols>
  <sheetData>
    <row r="1" spans="1:10" ht="39.65" customHeight="1" x14ac:dyDescent="0.35">
      <c r="B1" s="20" t="s">
        <v>93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93</v>
      </c>
      <c r="B3" s="15" t="s">
        <v>12</v>
      </c>
      <c r="C3" s="9">
        <v>45669</v>
      </c>
      <c r="D3" s="9">
        <v>45670</v>
      </c>
      <c r="E3" s="10">
        <f t="shared" ref="E3:E15" si="0">NETWORKDAYS(C3,D3)</f>
        <v>1</v>
      </c>
      <c r="F3" s="6" t="s">
        <v>11</v>
      </c>
      <c r="G3" s="4"/>
      <c r="H3" s="4"/>
      <c r="I3" s="7" t="str">
        <f t="shared" ref="I3:I15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93</v>
      </c>
      <c r="B4" s="15" t="s">
        <v>14</v>
      </c>
      <c r="C4" s="9">
        <v>45669</v>
      </c>
      <c r="D4" s="9">
        <v>45670</v>
      </c>
      <c r="E4" s="10">
        <f t="shared" si="0"/>
        <v>1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93</v>
      </c>
      <c r="B5" s="15" t="s">
        <v>15</v>
      </c>
      <c r="C5" s="9">
        <v>46035</v>
      </c>
      <c r="D5" s="11">
        <v>46052</v>
      </c>
      <c r="E5" s="10">
        <f t="shared" si="0"/>
        <v>14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93</v>
      </c>
      <c r="B6" s="15" t="s">
        <v>16</v>
      </c>
      <c r="C6" s="9">
        <v>46054</v>
      </c>
      <c r="D6" s="11">
        <v>46081</v>
      </c>
      <c r="E6" s="10">
        <f t="shared" si="0"/>
        <v>20</v>
      </c>
      <c r="F6" s="6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93</v>
      </c>
      <c r="B7" s="15" t="s">
        <v>46</v>
      </c>
      <c r="C7" s="9">
        <v>45731</v>
      </c>
      <c r="D7" s="11">
        <v>46127</v>
      </c>
      <c r="E7" s="10">
        <f t="shared" si="0"/>
        <v>283</v>
      </c>
      <c r="F7" s="6" t="s">
        <v>11</v>
      </c>
      <c r="G7" s="4"/>
      <c r="H7" s="4"/>
      <c r="I7" s="7" t="str">
        <f t="shared" ca="1" si="1"/>
        <v>✅ Completado</v>
      </c>
    </row>
    <row r="8" spans="1:10" x14ac:dyDescent="0.35">
      <c r="A8" s="15" t="s">
        <v>93</v>
      </c>
      <c r="B8" s="8" t="s">
        <v>87</v>
      </c>
      <c r="C8" s="9">
        <v>45732</v>
      </c>
      <c r="D8" s="11">
        <v>46128</v>
      </c>
      <c r="E8" s="10">
        <f t="shared" si="0"/>
        <v>284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0" x14ac:dyDescent="0.35">
      <c r="A9" s="15" t="s">
        <v>93</v>
      </c>
      <c r="B9" s="15" t="s">
        <v>67</v>
      </c>
      <c r="C9" s="9">
        <v>46142</v>
      </c>
      <c r="D9" s="9">
        <v>46142</v>
      </c>
      <c r="E9" s="10">
        <f t="shared" si="0"/>
        <v>1</v>
      </c>
      <c r="F9" s="6" t="s">
        <v>13</v>
      </c>
      <c r="G9" s="4"/>
      <c r="H9" s="4"/>
      <c r="I9" s="7" t="str">
        <f t="shared" ca="1" si="1"/>
        <v>🟡 Por iniciar</v>
      </c>
    </row>
    <row r="10" spans="1:10" x14ac:dyDescent="0.35">
      <c r="A10" s="15" t="s">
        <v>93</v>
      </c>
      <c r="B10" s="15" t="s">
        <v>81</v>
      </c>
      <c r="C10" s="9">
        <v>46200</v>
      </c>
      <c r="D10" s="9">
        <v>46200</v>
      </c>
      <c r="E10" s="10">
        <f>NETWORKDAYS(C10,D10)</f>
        <v>0</v>
      </c>
      <c r="F10" s="6" t="s">
        <v>13</v>
      </c>
      <c r="G10" s="4"/>
      <c r="H10" s="4"/>
      <c r="I10" s="7" t="str">
        <f ca="1">IF(F10="✅","✅ Completado",IF(TODAY()&lt;C10,"🟡 Por iniciar",IF(TODAY()&lt;=D10,"🟢 En proceso","🔴 Atrasado")))</f>
        <v>🟡 Por iniciar</v>
      </c>
    </row>
    <row r="11" spans="1:10" x14ac:dyDescent="0.35">
      <c r="A11" s="15" t="s">
        <v>93</v>
      </c>
      <c r="B11" s="15" t="s">
        <v>80</v>
      </c>
      <c r="C11" s="9">
        <v>46201</v>
      </c>
      <c r="D11" s="9">
        <v>46201</v>
      </c>
      <c r="E11" s="10">
        <f>NETWORKDAYS(C11,D11)</f>
        <v>0</v>
      </c>
      <c r="F11" s="6" t="s">
        <v>13</v>
      </c>
      <c r="G11" s="4"/>
      <c r="H11" s="4"/>
      <c r="I11" s="7" t="str">
        <f ca="1">IF(F11="✅","✅ Completado",IF(TODAY()&lt;C11,"🟡 Por iniciar",IF(TODAY()&lt;=D11,"🟢 En proceso","🔴 Atrasado")))</f>
        <v>🟡 Por iniciar</v>
      </c>
    </row>
    <row r="12" spans="1:10" x14ac:dyDescent="0.35">
      <c r="A12" s="15" t="s">
        <v>93</v>
      </c>
      <c r="B12" s="15" t="s">
        <v>38</v>
      </c>
      <c r="C12" s="9">
        <v>46202</v>
      </c>
      <c r="D12" s="9">
        <v>46202</v>
      </c>
      <c r="E12" s="10">
        <f>NETWORKDAYS(C12,D12)</f>
        <v>1</v>
      </c>
      <c r="F12" s="6" t="s">
        <v>13</v>
      </c>
      <c r="G12" s="4"/>
      <c r="H12" s="4"/>
      <c r="I12" s="7" t="str">
        <f t="shared" ca="1" si="1"/>
        <v>🟡 Por iniciar</v>
      </c>
    </row>
    <row r="13" spans="1:10" x14ac:dyDescent="0.35">
      <c r="A13" s="15" t="s">
        <v>93</v>
      </c>
      <c r="B13" s="8" t="s">
        <v>55</v>
      </c>
      <c r="C13" s="9">
        <v>46203</v>
      </c>
      <c r="D13" s="9">
        <v>46203</v>
      </c>
      <c r="E13" s="4">
        <f t="shared" si="0"/>
        <v>1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93</v>
      </c>
      <c r="B14" s="8" t="s">
        <v>43</v>
      </c>
      <c r="C14" s="9">
        <v>46204</v>
      </c>
      <c r="D14" s="9">
        <v>46204</v>
      </c>
      <c r="E14" s="4">
        <f t="shared" si="0"/>
        <v>1</v>
      </c>
      <c r="F14" s="6" t="s">
        <v>13</v>
      </c>
      <c r="G14" s="4"/>
      <c r="H14" s="4"/>
      <c r="I14" s="7" t="str">
        <f t="shared" ca="1" si="1"/>
        <v>🟡 Por iniciar</v>
      </c>
    </row>
    <row r="15" spans="1:10" x14ac:dyDescent="0.35">
      <c r="A15" s="15" t="s">
        <v>93</v>
      </c>
      <c r="B15" s="8" t="s">
        <v>44</v>
      </c>
      <c r="C15" s="9">
        <v>46205</v>
      </c>
      <c r="D15" s="9">
        <v>46205</v>
      </c>
      <c r="E15" s="4">
        <f t="shared" si="0"/>
        <v>1</v>
      </c>
      <c r="F15" s="6" t="s">
        <v>13</v>
      </c>
      <c r="G15" s="4"/>
      <c r="H15" s="4"/>
      <c r="I15" s="7" t="str">
        <f t="shared" ca="1" si="1"/>
        <v>🟡 Por iniciar</v>
      </c>
    </row>
    <row r="18" spans="1:2" x14ac:dyDescent="0.35">
      <c r="A18" s="18" t="s">
        <v>56</v>
      </c>
      <c r="B18" s="17" t="s">
        <v>94</v>
      </c>
    </row>
    <row r="21" spans="1:2" x14ac:dyDescent="0.35">
      <c r="B21" s="19" t="s">
        <v>95</v>
      </c>
    </row>
    <row r="22" spans="1:2" x14ac:dyDescent="0.35">
      <c r="B22" s="19"/>
    </row>
    <row r="23" spans="1:2" x14ac:dyDescent="0.35">
      <c r="B23" t="s">
        <v>287</v>
      </c>
    </row>
  </sheetData>
  <conditionalFormatting sqref="C1">
    <cfRule type="containsText" dxfId="147" priority="1" operator="containsText" text="✅">
      <formula>NOT(ISERROR(SEARCH("✅",C1)))</formula>
    </cfRule>
  </conditionalFormatting>
  <conditionalFormatting sqref="C3:H15">
    <cfRule type="expression" dxfId="146" priority="2">
      <formula>$I3="🔴 Atrasado"</formula>
    </cfRule>
  </conditionalFormatting>
  <conditionalFormatting sqref="F1:F1048576">
    <cfRule type="containsText" dxfId="145" priority="3" operator="containsText" text="✅">
      <formula>NOT(ISERROR(SEARCH("✅",F1)))</formula>
    </cfRule>
  </conditionalFormatting>
  <conditionalFormatting sqref="I1:I1048576">
    <cfRule type="containsText" dxfId="144" priority="4" operator="containsText" text="Completado">
      <formula>NOT(ISERROR(SEARCH("Completado",I1)))</formula>
    </cfRule>
    <cfRule type="containsText" dxfId="143" priority="5" operator="containsText" text="Atrasado">
      <formula>NOT(ISERROR(SEARCH("Atrasado",I1)))</formula>
    </cfRule>
    <cfRule type="containsText" dxfId="142" priority="6" operator="containsText" text="En proceso">
      <formula>NOT(ISERROR(SEARCH("En proceso",I1)))</formula>
    </cfRule>
    <cfRule type="containsText" dxfId="141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5" xr:uid="{85DBCFFC-C4C8-4838-9A81-EB4CF779F5CC}">
      <formula1>"✅,No,"</formula1>
    </dataValidation>
  </dataValidations>
  <hyperlinks>
    <hyperlink ref="B21" r:id="rId1" display="../../../../../../../:x:/g/personal/paulina_oliveros_ibero_mx/IQCJQStMXizjSqQlWoe6QQihAcMZektxBuuoODjg0qOEM0s?email=claudia.arrunada%40ibero.mx&amp;e=XeMaVr" xr:uid="{6FDB3F6F-28F7-4F52-9785-93998E27722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19B6-2F82-4146-90F3-1A3E1181FBB5}">
  <dimension ref="A1:K22"/>
  <sheetViews>
    <sheetView workbookViewId="0">
      <selection activeCell="B22" sqref="B22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28.81640625" customWidth="1"/>
    <col min="9" max="9" width="16.81640625" bestFit="1" customWidth="1"/>
    <col min="11" max="11" width="11.26953125" bestFit="1" customWidth="1"/>
  </cols>
  <sheetData>
    <row r="1" spans="1:11" ht="23.5" x14ac:dyDescent="0.55000000000000004">
      <c r="B1" s="16" t="s">
        <v>96</v>
      </c>
      <c r="C1"/>
      <c r="D1"/>
    </row>
    <row r="2" spans="1:11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1" x14ac:dyDescent="0.35">
      <c r="A3" s="15" t="s">
        <v>96</v>
      </c>
      <c r="B3" s="15" t="s">
        <v>12</v>
      </c>
      <c r="C3" s="9">
        <v>45950</v>
      </c>
      <c r="D3" s="11">
        <v>45960</v>
      </c>
      <c r="E3" s="10">
        <f t="shared" ref="E3:E15" si="0">NETWORKDAYS(C3,D3)</f>
        <v>9</v>
      </c>
      <c r="F3" s="6" t="s">
        <v>11</v>
      </c>
      <c r="G3" s="4"/>
      <c r="H3" s="4"/>
      <c r="I3" s="7" t="str">
        <f t="shared" ref="I3:I15" ca="1" si="1">IF(F3="✅","✅ Completado",IF(TODAY()&lt;C3,"🟡 Por iniciar",IF(TODAY()&lt;=D3,"🟢 En proceso","🔴 Atrasado")))</f>
        <v>✅ Completado</v>
      </c>
    </row>
    <row r="4" spans="1:11" x14ac:dyDescent="0.35">
      <c r="A4" s="15" t="s">
        <v>96</v>
      </c>
      <c r="B4" s="15" t="s">
        <v>14</v>
      </c>
      <c r="C4" s="9">
        <v>45950</v>
      </c>
      <c r="D4" s="11">
        <v>45960</v>
      </c>
      <c r="E4" s="10">
        <f t="shared" si="0"/>
        <v>9</v>
      </c>
      <c r="F4" s="6" t="s">
        <v>11</v>
      </c>
      <c r="G4" s="4"/>
      <c r="H4" s="4"/>
      <c r="I4" s="7" t="str">
        <f t="shared" ca="1" si="1"/>
        <v>✅ Completado</v>
      </c>
    </row>
    <row r="5" spans="1:11" x14ac:dyDescent="0.35">
      <c r="A5" s="15" t="s">
        <v>96</v>
      </c>
      <c r="B5" s="15" t="s">
        <v>15</v>
      </c>
      <c r="C5" s="9">
        <v>45950</v>
      </c>
      <c r="D5" s="11">
        <v>45951</v>
      </c>
      <c r="E5" s="10">
        <f t="shared" si="0"/>
        <v>2</v>
      </c>
      <c r="F5" s="6" t="s">
        <v>11</v>
      </c>
      <c r="G5" s="4"/>
      <c r="H5" s="4"/>
      <c r="I5" s="7" t="str">
        <f t="shared" ca="1" si="1"/>
        <v>✅ Completado</v>
      </c>
      <c r="K5" t="s">
        <v>97</v>
      </c>
    </row>
    <row r="6" spans="1:11" x14ac:dyDescent="0.35">
      <c r="A6" s="15" t="s">
        <v>96</v>
      </c>
      <c r="B6" s="15" t="s">
        <v>16</v>
      </c>
      <c r="C6" s="9">
        <v>45951</v>
      </c>
      <c r="D6" s="11">
        <v>45952</v>
      </c>
      <c r="E6" s="10">
        <f t="shared" si="0"/>
        <v>2</v>
      </c>
      <c r="F6" s="6" t="s">
        <v>11</v>
      </c>
      <c r="G6" s="4"/>
      <c r="H6" s="4"/>
      <c r="I6" s="7" t="str">
        <f t="shared" ca="1" si="1"/>
        <v>✅ Completado</v>
      </c>
    </row>
    <row r="7" spans="1:11" x14ac:dyDescent="0.35">
      <c r="A7" s="15" t="s">
        <v>96</v>
      </c>
      <c r="B7" s="15" t="s">
        <v>46</v>
      </c>
      <c r="C7" s="9">
        <v>46054</v>
      </c>
      <c r="D7" s="11">
        <v>46054</v>
      </c>
      <c r="E7" s="10">
        <f t="shared" si="0"/>
        <v>0</v>
      </c>
      <c r="F7" s="6" t="s">
        <v>11</v>
      </c>
      <c r="G7" s="4"/>
      <c r="H7" s="4"/>
      <c r="I7" s="7" t="str">
        <f t="shared" ca="1" si="1"/>
        <v>✅ Completado</v>
      </c>
    </row>
    <row r="8" spans="1:11" x14ac:dyDescent="0.35">
      <c r="A8" s="15" t="s">
        <v>96</v>
      </c>
      <c r="B8" s="8" t="s">
        <v>18</v>
      </c>
      <c r="C8" s="9">
        <v>46054</v>
      </c>
      <c r="D8" s="11">
        <v>46054</v>
      </c>
      <c r="E8" s="10">
        <f t="shared" si="0"/>
        <v>0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1" x14ac:dyDescent="0.35">
      <c r="A9" s="15" t="s">
        <v>96</v>
      </c>
      <c r="B9" s="15" t="s">
        <v>67</v>
      </c>
      <c r="C9" s="9">
        <v>46073</v>
      </c>
      <c r="D9" s="9">
        <v>46073</v>
      </c>
      <c r="E9" s="10">
        <f t="shared" si="0"/>
        <v>1</v>
      </c>
      <c r="F9" s="6" t="s">
        <v>11</v>
      </c>
      <c r="G9" s="4"/>
      <c r="H9" s="4"/>
      <c r="I9" s="7" t="str">
        <f t="shared" ca="1" si="1"/>
        <v>✅ Completado</v>
      </c>
    </row>
    <row r="10" spans="1:11" x14ac:dyDescent="0.35">
      <c r="A10" s="15" t="s">
        <v>96</v>
      </c>
      <c r="B10" s="15" t="s">
        <v>74</v>
      </c>
      <c r="C10" s="9">
        <v>46073</v>
      </c>
      <c r="D10" s="9">
        <v>46073</v>
      </c>
      <c r="E10" s="10">
        <f>NETWORKDAYS(C10,D10)</f>
        <v>1</v>
      </c>
      <c r="F10" s="6" t="s">
        <v>11</v>
      </c>
      <c r="G10" s="4"/>
      <c r="H10" s="4"/>
      <c r="I10" s="7" t="str">
        <f ca="1">IF(F10="✅","✅ Completado",IF(TODAY()&lt;C10,"🟡 Por iniciar",IF(TODAY()&lt;=D10,"🟢 En proceso","🔴 Atrasado")))</f>
        <v>✅ Completado</v>
      </c>
    </row>
    <row r="11" spans="1:11" x14ac:dyDescent="0.35">
      <c r="A11" s="15" t="s">
        <v>96</v>
      </c>
      <c r="B11" s="15" t="s">
        <v>81</v>
      </c>
      <c r="C11" s="9">
        <v>46113</v>
      </c>
      <c r="D11" s="9">
        <v>46142</v>
      </c>
      <c r="E11" s="10">
        <f>NETWORKDAYS(C11,D11)</f>
        <v>22</v>
      </c>
      <c r="F11" s="6" t="s">
        <v>13</v>
      </c>
      <c r="G11" s="4"/>
      <c r="H11" s="4" t="s">
        <v>98</v>
      </c>
      <c r="I11" s="7" t="str">
        <f ca="1">IF(F11="✅","✅ Completado",IF(TODAY()&lt;C11,"🟡 Por iniciar",IF(TODAY()&lt;=D11,"🟢 En proceso","🔴 Atrasado")))</f>
        <v>🟢 En proceso</v>
      </c>
    </row>
    <row r="12" spans="1:11" x14ac:dyDescent="0.35">
      <c r="A12" s="15" t="s">
        <v>96</v>
      </c>
      <c r="B12" s="15" t="s">
        <v>38</v>
      </c>
      <c r="C12" s="9">
        <v>46143</v>
      </c>
      <c r="D12" s="9">
        <v>46144</v>
      </c>
      <c r="E12" s="10">
        <f>NETWORKDAYS(C12,D12)</f>
        <v>1</v>
      </c>
      <c r="F12" s="6" t="s">
        <v>13</v>
      </c>
      <c r="G12" s="4"/>
      <c r="H12" s="4"/>
      <c r="I12" s="7" t="str">
        <f t="shared" ca="1" si="1"/>
        <v>🟡 Por iniciar</v>
      </c>
    </row>
    <row r="13" spans="1:11" x14ac:dyDescent="0.35">
      <c r="A13" s="15" t="s">
        <v>96</v>
      </c>
      <c r="B13" s="8" t="s">
        <v>55</v>
      </c>
      <c r="C13" s="9">
        <v>46144</v>
      </c>
      <c r="D13" s="9">
        <v>46145</v>
      </c>
      <c r="E13" s="4">
        <f t="shared" si="0"/>
        <v>0</v>
      </c>
      <c r="F13" s="6" t="s">
        <v>13</v>
      </c>
      <c r="G13" s="4"/>
      <c r="H13" s="4"/>
      <c r="I13" s="7" t="str">
        <f t="shared" ca="1" si="1"/>
        <v>🟡 Por iniciar</v>
      </c>
    </row>
    <row r="14" spans="1:11" x14ac:dyDescent="0.35">
      <c r="A14" s="15" t="s">
        <v>96</v>
      </c>
      <c r="B14" s="8" t="s">
        <v>43</v>
      </c>
      <c r="C14" s="9">
        <v>46145</v>
      </c>
      <c r="D14" s="9">
        <v>46146</v>
      </c>
      <c r="E14" s="4">
        <f t="shared" si="0"/>
        <v>1</v>
      </c>
      <c r="F14" s="6" t="s">
        <v>13</v>
      </c>
      <c r="G14" s="4"/>
      <c r="H14" s="4"/>
      <c r="I14" s="7" t="str">
        <f t="shared" ca="1" si="1"/>
        <v>🟡 Por iniciar</v>
      </c>
    </row>
    <row r="15" spans="1:11" x14ac:dyDescent="0.35">
      <c r="A15" s="15" t="s">
        <v>96</v>
      </c>
      <c r="B15" s="8" t="s">
        <v>44</v>
      </c>
      <c r="C15" s="9">
        <v>46146</v>
      </c>
      <c r="D15" s="9">
        <v>46147</v>
      </c>
      <c r="E15" s="4">
        <f t="shared" si="0"/>
        <v>2</v>
      </c>
      <c r="F15" s="6" t="s">
        <v>13</v>
      </c>
      <c r="G15" s="4"/>
      <c r="H15" s="4"/>
      <c r="I15" s="7" t="str">
        <f t="shared" ca="1" si="1"/>
        <v>🟡 Por iniciar</v>
      </c>
    </row>
    <row r="18" spans="1:2" x14ac:dyDescent="0.35">
      <c r="A18" s="18" t="s">
        <v>56</v>
      </c>
      <c r="B18" s="17" t="s">
        <v>99</v>
      </c>
    </row>
    <row r="20" spans="1:2" x14ac:dyDescent="0.35">
      <c r="B20" t="s">
        <v>277</v>
      </c>
    </row>
    <row r="22" spans="1:2" x14ac:dyDescent="0.35">
      <c r="B22" s="17" t="s">
        <v>100</v>
      </c>
    </row>
  </sheetData>
  <phoneticPr fontId="6" type="noConversion"/>
  <conditionalFormatting sqref="C1">
    <cfRule type="containsText" dxfId="140" priority="1" operator="containsText" text="✅">
      <formula>NOT(ISERROR(SEARCH("✅",C1)))</formula>
    </cfRule>
  </conditionalFormatting>
  <conditionalFormatting sqref="C3:H15">
    <cfRule type="expression" dxfId="139" priority="2">
      <formula>$I3="🔴 Atrasado"</formula>
    </cfRule>
  </conditionalFormatting>
  <conditionalFormatting sqref="F1:F1048576">
    <cfRule type="containsText" dxfId="138" priority="3" operator="containsText" text="✅">
      <formula>NOT(ISERROR(SEARCH("✅",F1)))</formula>
    </cfRule>
  </conditionalFormatting>
  <conditionalFormatting sqref="I1:I1048576">
    <cfRule type="containsText" dxfId="137" priority="4" operator="containsText" text="Completado">
      <formula>NOT(ISERROR(SEARCH("Completado",I1)))</formula>
    </cfRule>
    <cfRule type="containsText" dxfId="136" priority="5" operator="containsText" text="Atrasado">
      <formula>NOT(ISERROR(SEARCH("Atrasado",I1)))</formula>
    </cfRule>
    <cfRule type="containsText" dxfId="135" priority="6" operator="containsText" text="En proceso">
      <formula>NOT(ISERROR(SEARCH("En proceso",I1)))</formula>
    </cfRule>
    <cfRule type="containsText" dxfId="134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5" xr:uid="{D9AA75F0-CB4B-4050-873E-192F40ABFA4F}">
      <formula1>"✅,No,"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295B-FEB5-4ED5-A1E7-F9D1AC108D8F}">
  <dimension ref="A1:K33"/>
  <sheetViews>
    <sheetView topLeftCell="A6" workbookViewId="0">
      <selection activeCell="H29" sqref="H29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28.81640625" customWidth="1"/>
    <col min="9" max="9" width="16.81640625" bestFit="1" customWidth="1"/>
    <col min="11" max="11" width="11.26953125" bestFit="1" customWidth="1"/>
  </cols>
  <sheetData>
    <row r="1" spans="1:11" ht="23.5" x14ac:dyDescent="0.55000000000000004">
      <c r="B1" s="16" t="s">
        <v>101</v>
      </c>
      <c r="C1"/>
      <c r="D1"/>
    </row>
    <row r="2" spans="1:11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1" x14ac:dyDescent="0.35">
      <c r="A3" s="15" t="s">
        <v>101</v>
      </c>
      <c r="B3" s="15" t="s">
        <v>12</v>
      </c>
      <c r="C3" s="9">
        <v>45950</v>
      </c>
      <c r="D3" s="11">
        <v>45960</v>
      </c>
      <c r="E3" s="10">
        <f t="shared" ref="E3:E24" si="0">NETWORKDAYS(C3,D3)</f>
        <v>9</v>
      </c>
      <c r="F3" s="6" t="s">
        <v>11</v>
      </c>
      <c r="G3" s="4"/>
      <c r="H3" s="4"/>
      <c r="I3" s="7" t="str">
        <f t="shared" ref="I3:I24" ca="1" si="1">IF(F3="✅","✅ Completado",IF(TODAY()&lt;C3,"🟡 Por iniciar",IF(TODAY()&lt;=D3,"🟢 En proceso","🔴 Atrasado")))</f>
        <v>✅ Completado</v>
      </c>
    </row>
    <row r="4" spans="1:11" x14ac:dyDescent="0.35">
      <c r="A4" s="15" t="s">
        <v>101</v>
      </c>
      <c r="B4" s="15" t="s">
        <v>14</v>
      </c>
      <c r="C4" s="9">
        <v>45950</v>
      </c>
      <c r="D4" s="11">
        <v>45960</v>
      </c>
      <c r="E4" s="10">
        <f t="shared" si="0"/>
        <v>9</v>
      </c>
      <c r="F4" s="6" t="s">
        <v>11</v>
      </c>
      <c r="G4" s="4"/>
      <c r="H4" s="4"/>
      <c r="I4" s="7" t="str">
        <f t="shared" ca="1" si="1"/>
        <v>✅ Completado</v>
      </c>
    </row>
    <row r="5" spans="1:11" x14ac:dyDescent="0.35">
      <c r="A5" s="15" t="s">
        <v>101</v>
      </c>
      <c r="B5" s="15" t="s">
        <v>15</v>
      </c>
      <c r="C5" s="9">
        <v>46023</v>
      </c>
      <c r="D5" s="11">
        <v>46052</v>
      </c>
      <c r="E5" s="10">
        <f t="shared" si="0"/>
        <v>22</v>
      </c>
      <c r="F5" s="6" t="s">
        <v>11</v>
      </c>
      <c r="G5" s="4"/>
      <c r="H5" s="4"/>
      <c r="I5" s="7" t="str">
        <f t="shared" ca="1" si="1"/>
        <v>✅ Completado</v>
      </c>
      <c r="K5" t="s">
        <v>97</v>
      </c>
    </row>
    <row r="6" spans="1:11" x14ac:dyDescent="0.35">
      <c r="A6" s="15" t="s">
        <v>101</v>
      </c>
      <c r="B6" s="15" t="s">
        <v>16</v>
      </c>
      <c r="C6" s="9">
        <v>46023</v>
      </c>
      <c r="D6" s="11">
        <v>46052</v>
      </c>
      <c r="E6" s="10">
        <f t="shared" si="0"/>
        <v>22</v>
      </c>
      <c r="F6" s="6" t="s">
        <v>11</v>
      </c>
      <c r="G6" s="4"/>
      <c r="H6" s="4"/>
      <c r="I6" s="7" t="str">
        <f t="shared" ca="1" si="1"/>
        <v>✅ Completado</v>
      </c>
    </row>
    <row r="7" spans="1:11" x14ac:dyDescent="0.35">
      <c r="A7" s="15" t="s">
        <v>101</v>
      </c>
      <c r="B7" s="15" t="s">
        <v>46</v>
      </c>
      <c r="C7" s="9">
        <v>46023</v>
      </c>
      <c r="D7" s="11">
        <v>46052</v>
      </c>
      <c r="E7" s="10">
        <f t="shared" si="0"/>
        <v>22</v>
      </c>
      <c r="F7" s="6" t="s">
        <v>11</v>
      </c>
      <c r="G7" s="4"/>
      <c r="H7" s="4"/>
      <c r="I7" s="7" t="str">
        <f t="shared" ca="1" si="1"/>
        <v>✅ Completado</v>
      </c>
    </row>
    <row r="8" spans="1:11" x14ac:dyDescent="0.35">
      <c r="A8" s="15" t="s">
        <v>101</v>
      </c>
      <c r="B8" s="8" t="s">
        <v>18</v>
      </c>
      <c r="C8" s="9">
        <v>46023</v>
      </c>
      <c r="D8" s="11">
        <v>46052</v>
      </c>
      <c r="E8" s="10">
        <f t="shared" si="0"/>
        <v>22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1" x14ac:dyDescent="0.35">
      <c r="A9" s="15" t="s">
        <v>101</v>
      </c>
      <c r="B9" s="15" t="s">
        <v>67</v>
      </c>
      <c r="C9" s="9">
        <v>46080</v>
      </c>
      <c r="D9" s="9">
        <v>46080</v>
      </c>
      <c r="E9" s="10">
        <f t="shared" si="0"/>
        <v>1</v>
      </c>
      <c r="F9" s="6" t="s">
        <v>11</v>
      </c>
      <c r="G9" s="4"/>
      <c r="H9" s="4"/>
      <c r="I9" s="7" t="str">
        <f t="shared" ca="1" si="1"/>
        <v>✅ Completado</v>
      </c>
    </row>
    <row r="10" spans="1:11" x14ac:dyDescent="0.35">
      <c r="A10" s="15" t="s">
        <v>101</v>
      </c>
      <c r="B10" s="15" t="s">
        <v>74</v>
      </c>
      <c r="C10" s="9">
        <v>46112</v>
      </c>
      <c r="D10" s="9">
        <v>46112</v>
      </c>
      <c r="E10" s="10">
        <f>NETWORKDAYS(C10,D10)</f>
        <v>1</v>
      </c>
      <c r="F10" s="6" t="s">
        <v>11</v>
      </c>
      <c r="G10" s="4"/>
      <c r="H10" s="4"/>
      <c r="I10" s="7" t="str">
        <f ca="1">IF(F10="✅","✅ Completado",IF(TODAY()&lt;C10,"🟡 Por iniciar",IF(TODAY()&lt;=D10,"🟢 En proceso","🔴 Atrasado")))</f>
        <v>✅ Completado</v>
      </c>
    </row>
    <row r="11" spans="1:11" x14ac:dyDescent="0.35">
      <c r="A11" s="15" t="s">
        <v>101</v>
      </c>
      <c r="B11" s="15" t="s">
        <v>102</v>
      </c>
      <c r="C11" s="9">
        <v>46112</v>
      </c>
      <c r="D11" s="9">
        <v>46112</v>
      </c>
      <c r="E11" s="10">
        <f>NETWORKDAYS(C11,D11)</f>
        <v>1</v>
      </c>
      <c r="F11" s="6" t="s">
        <v>11</v>
      </c>
      <c r="G11" s="4"/>
      <c r="H11" s="4"/>
      <c r="I11" s="7" t="str">
        <f ca="1">IF(F11="✅","✅ Completado",IF(TODAY()&lt;C11,"🟡 Por iniciar",IF(TODAY()&lt;=D11,"🟢 En proceso","🔴 Atrasado")))</f>
        <v>✅ Completado</v>
      </c>
    </row>
    <row r="12" spans="1:11" x14ac:dyDescent="0.35">
      <c r="A12" s="15" t="s">
        <v>101</v>
      </c>
      <c r="B12" s="15" t="s">
        <v>300</v>
      </c>
      <c r="C12" s="9">
        <v>46115</v>
      </c>
      <c r="D12" s="9">
        <v>46115</v>
      </c>
      <c r="E12" s="10">
        <f>NETWORKDAYS(C12,D12)</f>
        <v>1</v>
      </c>
      <c r="F12" s="6" t="s">
        <v>11</v>
      </c>
      <c r="G12" s="4"/>
      <c r="H12" s="4"/>
      <c r="I12" s="7" t="str">
        <f ca="1">IF(F12="✅","✅ Completado",IF(TODAY()&lt;C12,"🟡 Por iniciar",IF(TODAY()&lt;=D12,"🟢 En proceso","🔴 Atrasado")))</f>
        <v>✅ Completado</v>
      </c>
    </row>
    <row r="13" spans="1:11" x14ac:dyDescent="0.35">
      <c r="A13" s="15" t="s">
        <v>101</v>
      </c>
      <c r="B13" s="15" t="s">
        <v>301</v>
      </c>
      <c r="C13" s="9">
        <v>46126</v>
      </c>
      <c r="D13" s="9">
        <v>46142</v>
      </c>
      <c r="E13" s="10">
        <f t="shared" ref="E13:E16" si="2">NETWORKDAYS(C13,D13)</f>
        <v>13</v>
      </c>
      <c r="F13" s="6" t="s">
        <v>13</v>
      </c>
      <c r="G13" s="4"/>
      <c r="H13" s="4"/>
      <c r="I13" s="7" t="str">
        <f t="shared" ref="I13:I16" ca="1" si="3">IF(F13="✅","✅ Completado",IF(TODAY()&lt;C13,"🟡 Por iniciar",IF(TODAY()&lt;=D13,"🟢 En proceso","🔴 Atrasado")))</f>
        <v>🟢 En proceso</v>
      </c>
    </row>
    <row r="14" spans="1:11" x14ac:dyDescent="0.35">
      <c r="A14" s="15" t="s">
        <v>101</v>
      </c>
      <c r="B14" s="15" t="s">
        <v>302</v>
      </c>
      <c r="C14" s="9">
        <v>46126</v>
      </c>
      <c r="D14" s="9">
        <v>46142</v>
      </c>
      <c r="E14" s="10">
        <f t="shared" si="2"/>
        <v>13</v>
      </c>
      <c r="F14" s="6" t="s">
        <v>13</v>
      </c>
      <c r="G14" s="4"/>
      <c r="H14" s="4"/>
      <c r="I14" s="7" t="str">
        <f t="shared" ca="1" si="3"/>
        <v>🟢 En proceso</v>
      </c>
    </row>
    <row r="15" spans="1:11" x14ac:dyDescent="0.35">
      <c r="A15" s="15" t="s">
        <v>101</v>
      </c>
      <c r="B15" s="15" t="s">
        <v>303</v>
      </c>
      <c r="C15" s="9">
        <v>46126</v>
      </c>
      <c r="D15" s="9">
        <v>46142</v>
      </c>
      <c r="E15" s="10">
        <f t="shared" si="2"/>
        <v>13</v>
      </c>
      <c r="F15" s="6" t="s">
        <v>13</v>
      </c>
      <c r="G15" s="4"/>
      <c r="H15" s="4"/>
      <c r="I15" s="7" t="str">
        <f t="shared" ca="1" si="3"/>
        <v>🟢 En proceso</v>
      </c>
    </row>
    <row r="16" spans="1:11" x14ac:dyDescent="0.35">
      <c r="A16" s="15" t="s">
        <v>101</v>
      </c>
      <c r="B16" s="15" t="s">
        <v>304</v>
      </c>
      <c r="C16" s="9">
        <v>46126</v>
      </c>
      <c r="D16" s="9">
        <v>46142</v>
      </c>
      <c r="E16" s="10">
        <f t="shared" si="2"/>
        <v>13</v>
      </c>
      <c r="F16" s="6" t="s">
        <v>13</v>
      </c>
      <c r="G16" s="4"/>
      <c r="H16" s="4"/>
      <c r="I16" s="7" t="str">
        <f t="shared" ca="1" si="3"/>
        <v>🟢 En proceso</v>
      </c>
    </row>
    <row r="17" spans="1:9" x14ac:dyDescent="0.35">
      <c r="A17" s="15" t="s">
        <v>101</v>
      </c>
      <c r="B17" s="15" t="s">
        <v>299</v>
      </c>
      <c r="C17" s="9">
        <v>46154</v>
      </c>
      <c r="D17" s="9">
        <v>46155</v>
      </c>
      <c r="E17" s="10">
        <f>NETWORKDAYS(C17,D17)</f>
        <v>2</v>
      </c>
      <c r="F17" s="6" t="s">
        <v>13</v>
      </c>
      <c r="G17" s="4"/>
      <c r="H17" s="4"/>
      <c r="I17" s="7" t="str">
        <f ca="1">IF(F17="✅","✅ Completado",IF(TODAY()&lt;C17,"🟡 Por iniciar",IF(TODAY()&lt;=D17,"🟢 En proceso","🔴 Atrasado")))</f>
        <v>🟡 Por iniciar</v>
      </c>
    </row>
    <row r="18" spans="1:9" x14ac:dyDescent="0.35">
      <c r="A18" s="15" t="s">
        <v>101</v>
      </c>
      <c r="B18" s="15" t="s">
        <v>306</v>
      </c>
      <c r="C18" s="9">
        <v>46152</v>
      </c>
      <c r="D18" s="9">
        <v>46157</v>
      </c>
      <c r="E18" s="10">
        <f>NETWORKDAYS(C18,D18)</f>
        <v>5</v>
      </c>
      <c r="F18" s="6" t="s">
        <v>13</v>
      </c>
      <c r="G18" s="4"/>
      <c r="H18" s="4"/>
      <c r="I18" s="7" t="str">
        <f ca="1">IF(F18="✅","✅ Completado",IF(TODAY()&lt;C18,"🟡 Por iniciar",IF(TODAY()&lt;=D18,"🟢 En proceso","🔴 Atrasado")))</f>
        <v>🟡 Por iniciar</v>
      </c>
    </row>
    <row r="19" spans="1:9" x14ac:dyDescent="0.35">
      <c r="A19" s="15" t="s">
        <v>101</v>
      </c>
      <c r="B19" s="15" t="s">
        <v>298</v>
      </c>
      <c r="C19" s="9">
        <v>46156</v>
      </c>
      <c r="D19" s="9">
        <v>46156</v>
      </c>
      <c r="E19" s="10">
        <f>NETWORKDAYS(C19,D19)</f>
        <v>1</v>
      </c>
      <c r="F19" s="6" t="s">
        <v>13</v>
      </c>
      <c r="G19" s="4"/>
      <c r="H19" s="4"/>
      <c r="I19" s="7" t="str">
        <f ca="1">IF(F19="✅","✅ Completado",IF(TODAY()&lt;C19,"🟡 Por iniciar",IF(TODAY()&lt;=D19,"🟢 En proceso","🔴 Atrasado")))</f>
        <v>🟡 Por iniciar</v>
      </c>
    </row>
    <row r="20" spans="1:9" x14ac:dyDescent="0.35">
      <c r="A20" s="15" t="s">
        <v>101</v>
      </c>
      <c r="B20" s="15" t="s">
        <v>81</v>
      </c>
      <c r="C20" s="9">
        <v>46156</v>
      </c>
      <c r="D20" s="9">
        <v>46156</v>
      </c>
      <c r="E20" s="10">
        <f>NETWORKDAYS(C20,D20)</f>
        <v>1</v>
      </c>
      <c r="F20" s="6" t="s">
        <v>13</v>
      </c>
      <c r="G20" s="4"/>
      <c r="H20" s="4"/>
      <c r="I20" s="7" t="str">
        <f ca="1">IF(F20="✅","✅ Completado",IF(TODAY()&lt;C20,"🟡 Por iniciar",IF(TODAY()&lt;=D20,"🟢 En proceso","🔴 Atrasado")))</f>
        <v>🟡 Por iniciar</v>
      </c>
    </row>
    <row r="21" spans="1:9" x14ac:dyDescent="0.35">
      <c r="A21" s="15" t="s">
        <v>101</v>
      </c>
      <c r="B21" s="15" t="s">
        <v>38</v>
      </c>
      <c r="C21" s="9">
        <v>46167</v>
      </c>
      <c r="D21" s="9">
        <v>46167</v>
      </c>
      <c r="E21" s="10">
        <f>NETWORKDAYS(C21,D21)</f>
        <v>1</v>
      </c>
      <c r="F21" s="6" t="s">
        <v>13</v>
      </c>
      <c r="G21" s="4"/>
      <c r="H21" s="4"/>
      <c r="I21" s="7" t="str">
        <f t="shared" ca="1" si="1"/>
        <v>🟡 Por iniciar</v>
      </c>
    </row>
    <row r="22" spans="1:9" x14ac:dyDescent="0.35">
      <c r="A22" s="15" t="s">
        <v>101</v>
      </c>
      <c r="B22" s="8" t="s">
        <v>55</v>
      </c>
      <c r="C22" s="9">
        <v>46168</v>
      </c>
      <c r="D22" s="9">
        <v>46168</v>
      </c>
      <c r="E22" s="4">
        <f t="shared" si="0"/>
        <v>1</v>
      </c>
      <c r="F22" s="6" t="s">
        <v>13</v>
      </c>
      <c r="G22" s="4"/>
      <c r="H22" s="4"/>
      <c r="I22" s="7" t="str">
        <f t="shared" ca="1" si="1"/>
        <v>🟡 Por iniciar</v>
      </c>
    </row>
    <row r="23" spans="1:9" x14ac:dyDescent="0.35">
      <c r="A23" s="15" t="s">
        <v>101</v>
      </c>
      <c r="B23" s="8" t="s">
        <v>43</v>
      </c>
      <c r="C23" s="9">
        <v>46169</v>
      </c>
      <c r="D23" s="9">
        <v>46169</v>
      </c>
      <c r="E23" s="4">
        <f t="shared" si="0"/>
        <v>1</v>
      </c>
      <c r="F23" s="6" t="s">
        <v>13</v>
      </c>
      <c r="G23" s="4"/>
      <c r="H23" s="4"/>
      <c r="I23" s="7" t="str">
        <f t="shared" ca="1" si="1"/>
        <v>🟡 Por iniciar</v>
      </c>
    </row>
    <row r="24" spans="1:9" x14ac:dyDescent="0.35">
      <c r="A24" s="15" t="s">
        <v>101</v>
      </c>
      <c r="B24" s="8" t="s">
        <v>44</v>
      </c>
      <c r="C24" s="9">
        <v>46170</v>
      </c>
      <c r="D24" s="9">
        <v>46170</v>
      </c>
      <c r="E24" s="4">
        <f t="shared" si="0"/>
        <v>1</v>
      </c>
      <c r="F24" s="6" t="s">
        <v>13</v>
      </c>
      <c r="G24" s="4"/>
      <c r="H24" s="4"/>
      <c r="I24" s="7" t="str">
        <f t="shared" ca="1" si="1"/>
        <v>🟡 Por iniciar</v>
      </c>
    </row>
    <row r="27" spans="1:9" x14ac:dyDescent="0.35">
      <c r="A27" s="18" t="s">
        <v>56</v>
      </c>
      <c r="B27" s="17" t="s">
        <v>103</v>
      </c>
    </row>
    <row r="30" spans="1:9" x14ac:dyDescent="0.35">
      <c r="B30" s="19" t="s">
        <v>104</v>
      </c>
    </row>
    <row r="33" spans="2:2" x14ac:dyDescent="0.35">
      <c r="B33" t="s">
        <v>105</v>
      </c>
    </row>
  </sheetData>
  <phoneticPr fontId="6" type="noConversion"/>
  <conditionalFormatting sqref="C1">
    <cfRule type="containsText" dxfId="133" priority="1" operator="containsText" text="✅">
      <formula>NOT(ISERROR(SEARCH("✅",C1)))</formula>
    </cfRule>
  </conditionalFormatting>
  <conditionalFormatting sqref="C3:H24">
    <cfRule type="expression" dxfId="132" priority="2">
      <formula>$I3="🔴 Atrasado"</formula>
    </cfRule>
  </conditionalFormatting>
  <conditionalFormatting sqref="F1:F1048576">
    <cfRule type="containsText" dxfId="131" priority="3" operator="containsText" text="✅">
      <formula>NOT(ISERROR(SEARCH("✅",F1)))</formula>
    </cfRule>
  </conditionalFormatting>
  <conditionalFormatting sqref="I1:I1048576">
    <cfRule type="containsText" dxfId="130" priority="4" operator="containsText" text="Completado">
      <formula>NOT(ISERROR(SEARCH("Completado",I1)))</formula>
    </cfRule>
    <cfRule type="containsText" dxfId="129" priority="5" operator="containsText" text="Atrasado">
      <formula>NOT(ISERROR(SEARCH("Atrasado",I1)))</formula>
    </cfRule>
    <cfRule type="containsText" dxfId="128" priority="6" operator="containsText" text="En proceso">
      <formula>NOT(ISERROR(SEARCH("En proceso",I1)))</formula>
    </cfRule>
    <cfRule type="containsText" dxfId="127" priority="7" operator="containsText" text="Por iniciar">
      <formula>NOT(ISERROR(SEARCH("Por iniciar",I1)))</formula>
    </cfRule>
  </conditionalFormatting>
  <dataValidations count="1">
    <dataValidation type="list" showInputMessage="1" showErrorMessage="1" sqref="F3:F24" xr:uid="{AC44848D-AF5B-426B-8FC0-0EA53BFE2A8E}">
      <formula1>"✅,No,"</formula1>
    </dataValidation>
  </dataValidations>
  <hyperlinks>
    <hyperlink ref="B30" r:id="rId1" display="../../../../../../../:x:/g/personal/paulina_oliveros_ibero_mx/IQAbjOsT-ibCSY6z6vHXqnAPAalbarUY5_xgstrzjS8Uk10?e=EtfTGd" xr:uid="{F709A1A9-4B27-45B0-9332-E4822E29D734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07CDE-B24E-4C02-B244-33049C0AAE6A}">
  <dimension ref="A1:K27"/>
  <sheetViews>
    <sheetView workbookViewId="0">
      <selection activeCell="E22" sqref="E22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28.81640625" customWidth="1"/>
    <col min="9" max="9" width="16.81640625" bestFit="1" customWidth="1"/>
    <col min="11" max="11" width="11.26953125" bestFit="1" customWidth="1"/>
  </cols>
  <sheetData>
    <row r="1" spans="1:11" ht="23.5" x14ac:dyDescent="0.55000000000000004">
      <c r="B1" s="16" t="s">
        <v>106</v>
      </c>
      <c r="C1"/>
      <c r="D1"/>
    </row>
    <row r="2" spans="1:11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1" x14ac:dyDescent="0.35">
      <c r="A3" s="15" t="s">
        <v>106</v>
      </c>
      <c r="B3" s="15" t="s">
        <v>12</v>
      </c>
      <c r="C3" s="9">
        <v>46042</v>
      </c>
      <c r="D3" s="9">
        <v>46043</v>
      </c>
      <c r="E3" s="10">
        <f t="shared" ref="E3:E17" si="0">NETWORKDAYS(C3,D3)</f>
        <v>2</v>
      </c>
      <c r="F3" s="6" t="s">
        <v>11</v>
      </c>
      <c r="G3" s="4"/>
      <c r="H3" s="4"/>
      <c r="I3" s="7" t="str">
        <f t="shared" ref="I3:I17" ca="1" si="1">IF(F3="✅","✅ Completado",IF(TODAY()&lt;C3,"🟡 Por iniciar",IF(TODAY()&lt;=D3,"🟢 En proceso","🔴 Atrasado")))</f>
        <v>✅ Completado</v>
      </c>
    </row>
    <row r="4" spans="1:11" x14ac:dyDescent="0.35">
      <c r="A4" s="15" t="s">
        <v>106</v>
      </c>
      <c r="B4" s="15" t="s">
        <v>14</v>
      </c>
      <c r="C4" s="9">
        <v>46043</v>
      </c>
      <c r="D4" s="9">
        <v>46044</v>
      </c>
      <c r="E4" s="10">
        <f t="shared" si="0"/>
        <v>2</v>
      </c>
      <c r="F4" s="6" t="s">
        <v>11</v>
      </c>
      <c r="G4" s="4"/>
      <c r="H4" s="4"/>
      <c r="I4" s="7" t="str">
        <f t="shared" ca="1" si="1"/>
        <v>✅ Completado</v>
      </c>
    </row>
    <row r="5" spans="1:11" x14ac:dyDescent="0.35">
      <c r="A5" s="15" t="s">
        <v>106</v>
      </c>
      <c r="B5" s="15" t="s">
        <v>15</v>
      </c>
      <c r="C5" s="9">
        <v>46042</v>
      </c>
      <c r="D5" s="11">
        <v>46043</v>
      </c>
      <c r="E5" s="10">
        <f t="shared" si="0"/>
        <v>2</v>
      </c>
      <c r="F5" s="6" t="s">
        <v>11</v>
      </c>
      <c r="G5" s="4"/>
      <c r="H5" s="4"/>
      <c r="I5" s="7" t="str">
        <f t="shared" ca="1" si="1"/>
        <v>✅ Completado</v>
      </c>
    </row>
    <row r="6" spans="1:11" x14ac:dyDescent="0.35">
      <c r="A6" s="15" t="s">
        <v>106</v>
      </c>
      <c r="B6" s="15" t="s">
        <v>16</v>
      </c>
      <c r="C6" s="9">
        <v>46055</v>
      </c>
      <c r="D6" s="11">
        <v>46073</v>
      </c>
      <c r="E6" s="10">
        <f t="shared" si="0"/>
        <v>15</v>
      </c>
      <c r="F6" s="6" t="s">
        <v>11</v>
      </c>
      <c r="G6" s="4"/>
      <c r="H6" s="4"/>
      <c r="I6" s="7" t="str">
        <f t="shared" ca="1" si="1"/>
        <v>✅ Completado</v>
      </c>
    </row>
    <row r="7" spans="1:11" x14ac:dyDescent="0.35">
      <c r="A7" s="15" t="s">
        <v>106</v>
      </c>
      <c r="B7" s="15" t="s">
        <v>46</v>
      </c>
      <c r="C7" s="9">
        <v>46052</v>
      </c>
      <c r="D7" s="11">
        <v>46052</v>
      </c>
      <c r="E7" s="10">
        <f t="shared" si="0"/>
        <v>1</v>
      </c>
      <c r="F7" s="6" t="s">
        <v>11</v>
      </c>
      <c r="G7" s="4"/>
      <c r="H7" s="4"/>
      <c r="I7" s="7" t="str">
        <f t="shared" ca="1" si="1"/>
        <v>✅ Completado</v>
      </c>
    </row>
    <row r="8" spans="1:11" x14ac:dyDescent="0.35">
      <c r="A8" s="15" t="s">
        <v>106</v>
      </c>
      <c r="B8" s="8" t="s">
        <v>18</v>
      </c>
      <c r="C8" s="9">
        <v>46054</v>
      </c>
      <c r="D8" s="11">
        <v>46053</v>
      </c>
      <c r="E8" s="10">
        <f t="shared" si="0"/>
        <v>0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1" x14ac:dyDescent="0.35">
      <c r="A9" s="15" t="s">
        <v>106</v>
      </c>
      <c r="B9" s="8" t="s">
        <v>107</v>
      </c>
      <c r="C9" s="9">
        <v>46054</v>
      </c>
      <c r="D9" s="11">
        <v>46053</v>
      </c>
      <c r="E9" s="10">
        <f t="shared" ref="E9" si="2">NETWORKDAYS(C9,D9)</f>
        <v>0</v>
      </c>
      <c r="F9" s="6" t="s">
        <v>11</v>
      </c>
      <c r="G9" s="4"/>
      <c r="H9" s="4"/>
      <c r="I9" s="7" t="str">
        <f t="shared" ref="I9" ca="1" si="3">IF(F9="✅","✅ Completado",IF(TODAY()&lt;C9,"🟡 Por iniciar",IF(TODAY()&lt;=D9,"🟢 En proceso","🔴 Atrasado")))</f>
        <v>✅ Completado</v>
      </c>
    </row>
    <row r="10" spans="1:11" x14ac:dyDescent="0.35">
      <c r="A10" s="15" t="s">
        <v>106</v>
      </c>
      <c r="B10" s="15" t="s">
        <v>46</v>
      </c>
      <c r="C10" s="9">
        <v>46155</v>
      </c>
      <c r="D10" s="9">
        <v>46155</v>
      </c>
      <c r="E10" s="10">
        <f t="shared" si="0"/>
        <v>1</v>
      </c>
      <c r="F10" s="6" t="s">
        <v>13</v>
      </c>
      <c r="G10" s="4"/>
      <c r="H10" s="4"/>
      <c r="I10" s="7" t="str">
        <f t="shared" ca="1" si="1"/>
        <v>🟡 Por iniciar</v>
      </c>
      <c r="K10" t="s">
        <v>108</v>
      </c>
    </row>
    <row r="11" spans="1:11" x14ac:dyDescent="0.35">
      <c r="A11" s="15" t="s">
        <v>106</v>
      </c>
      <c r="B11" s="15" t="s">
        <v>109</v>
      </c>
      <c r="C11" s="9">
        <v>46287</v>
      </c>
      <c r="D11" s="9">
        <v>46287</v>
      </c>
      <c r="E11" s="10">
        <f>NETWORKDAYS(C11,D11)</f>
        <v>1</v>
      </c>
      <c r="F11" s="6" t="s">
        <v>13</v>
      </c>
      <c r="G11" s="4"/>
      <c r="H11" s="4"/>
      <c r="I11" s="7" t="str">
        <f ca="1">IF(F11="✅","✅ Completado",IF(TODAY()&lt;C11,"🟡 Por iniciar",IF(TODAY()&lt;=D11,"🟢 En proceso","🔴 Atrasado")))</f>
        <v>🟡 Por iniciar</v>
      </c>
    </row>
    <row r="12" spans="1:11" x14ac:dyDescent="0.35">
      <c r="A12" s="15" t="s">
        <v>106</v>
      </c>
      <c r="B12" s="15" t="s">
        <v>110</v>
      </c>
      <c r="C12" s="9">
        <v>46314</v>
      </c>
      <c r="D12" s="9">
        <v>46314</v>
      </c>
      <c r="E12" s="10">
        <f>NETWORKDAYS(C12,D12)</f>
        <v>1</v>
      </c>
      <c r="F12" s="6" t="s">
        <v>13</v>
      </c>
      <c r="G12" s="4"/>
      <c r="H12" s="4"/>
      <c r="I12" s="7" t="str">
        <f ca="1">IF(F12="✅","✅ Completado",IF(TODAY()&lt;C12,"🟡 Por iniciar",IF(TODAY()&lt;=D12,"🟢 En proceso","🔴 Atrasado")))</f>
        <v>🟡 Por iniciar</v>
      </c>
    </row>
    <row r="13" spans="1:11" x14ac:dyDescent="0.35">
      <c r="A13" s="15" t="s">
        <v>106</v>
      </c>
      <c r="B13" s="15" t="s">
        <v>111</v>
      </c>
      <c r="C13" s="9">
        <v>46364</v>
      </c>
      <c r="D13" s="9">
        <v>46364</v>
      </c>
      <c r="E13" s="10">
        <f>NETWORKDAYS(C13,D13)</f>
        <v>1</v>
      </c>
      <c r="F13" s="6" t="s">
        <v>13</v>
      </c>
      <c r="G13" s="4"/>
      <c r="H13" s="4"/>
      <c r="I13" s="7" t="str">
        <f ca="1">IF(F13="✅","✅ Completado",IF(TODAY()&lt;C13,"🟡 Por iniciar",IF(TODAY()&lt;=D13,"🟢 En proceso","🔴 Atrasado")))</f>
        <v>🟡 Por iniciar</v>
      </c>
    </row>
    <row r="14" spans="1:11" x14ac:dyDescent="0.35">
      <c r="A14" s="15" t="s">
        <v>106</v>
      </c>
      <c r="B14" s="15" t="s">
        <v>38</v>
      </c>
      <c r="C14" s="9">
        <v>46365</v>
      </c>
      <c r="D14" s="9">
        <v>46365</v>
      </c>
      <c r="E14" s="10">
        <f>NETWORKDAYS(C14,D14)</f>
        <v>1</v>
      </c>
      <c r="F14" s="6" t="s">
        <v>13</v>
      </c>
      <c r="G14" s="4"/>
      <c r="H14" s="4"/>
      <c r="I14" s="7" t="str">
        <f t="shared" ca="1" si="1"/>
        <v>🟡 Por iniciar</v>
      </c>
    </row>
    <row r="15" spans="1:11" x14ac:dyDescent="0.35">
      <c r="A15" s="15" t="s">
        <v>106</v>
      </c>
      <c r="B15" s="8" t="s">
        <v>55</v>
      </c>
      <c r="C15" s="9">
        <v>46366</v>
      </c>
      <c r="D15" s="9">
        <v>46366</v>
      </c>
      <c r="E15" s="4">
        <f t="shared" si="0"/>
        <v>1</v>
      </c>
      <c r="F15" s="6" t="s">
        <v>13</v>
      </c>
      <c r="G15" s="4"/>
      <c r="H15" s="4"/>
      <c r="I15" s="7" t="str">
        <f t="shared" ca="1" si="1"/>
        <v>🟡 Por iniciar</v>
      </c>
    </row>
    <row r="16" spans="1:11" x14ac:dyDescent="0.35">
      <c r="A16" s="15" t="s">
        <v>106</v>
      </c>
      <c r="B16" s="8" t="s">
        <v>43</v>
      </c>
      <c r="C16" s="9">
        <v>46367</v>
      </c>
      <c r="D16" s="9">
        <v>46367</v>
      </c>
      <c r="E16" s="4">
        <f t="shared" si="0"/>
        <v>1</v>
      </c>
      <c r="F16" s="6" t="s">
        <v>13</v>
      </c>
      <c r="G16" s="4"/>
      <c r="H16" s="4"/>
      <c r="I16" s="7" t="str">
        <f t="shared" ca="1" si="1"/>
        <v>🟡 Por iniciar</v>
      </c>
    </row>
    <row r="17" spans="1:9" x14ac:dyDescent="0.35">
      <c r="A17" s="15" t="s">
        <v>106</v>
      </c>
      <c r="B17" s="8" t="s">
        <v>44</v>
      </c>
      <c r="C17" s="9">
        <v>46368</v>
      </c>
      <c r="D17" s="9">
        <v>46368</v>
      </c>
      <c r="E17" s="4">
        <f t="shared" si="0"/>
        <v>0</v>
      </c>
      <c r="F17" s="6" t="s">
        <v>13</v>
      </c>
      <c r="G17" s="4"/>
      <c r="H17" s="4"/>
      <c r="I17" s="7" t="str">
        <f t="shared" ca="1" si="1"/>
        <v>🟡 Por iniciar</v>
      </c>
    </row>
    <row r="20" spans="1:9" x14ac:dyDescent="0.35">
      <c r="A20" s="18" t="s">
        <v>56</v>
      </c>
      <c r="B20" s="17" t="s">
        <v>112</v>
      </c>
    </row>
    <row r="22" spans="1:9" x14ac:dyDescent="0.35">
      <c r="B22" t="s">
        <v>113</v>
      </c>
    </row>
    <row r="25" spans="1:9" x14ac:dyDescent="0.35">
      <c r="B25" s="19" t="s">
        <v>114</v>
      </c>
    </row>
    <row r="27" spans="1:9" x14ac:dyDescent="0.35">
      <c r="B27" t="s">
        <v>115</v>
      </c>
    </row>
  </sheetData>
  <phoneticPr fontId="6" type="noConversion"/>
  <conditionalFormatting sqref="C1 F1:F1048576">
    <cfRule type="containsText" dxfId="126" priority="1" operator="containsText" text="✅">
      <formula>NOT(ISERROR(SEARCH("✅",C1)))</formula>
    </cfRule>
  </conditionalFormatting>
  <conditionalFormatting sqref="C3:H17">
    <cfRule type="expression" dxfId="125" priority="5">
      <formula>$I3="🔴 Atrasado"</formula>
    </cfRule>
  </conditionalFormatting>
  <conditionalFormatting sqref="I1:I1048576">
    <cfRule type="containsText" dxfId="124" priority="2" operator="containsText" text="Completado">
      <formula>NOT(ISERROR(SEARCH("Completado",I1)))</formula>
    </cfRule>
    <cfRule type="containsText" dxfId="123" priority="2" operator="containsText" text="Atrasado">
      <formula>NOT(ISERROR(SEARCH("Atrasado",I1)))</formula>
    </cfRule>
    <cfRule type="containsText" dxfId="122" priority="3" operator="containsText" text="En proceso">
      <formula>NOT(ISERROR(SEARCH("En proceso",I1)))</formula>
    </cfRule>
    <cfRule type="containsText" dxfId="121" priority="4" operator="containsText" text="Por iniciar">
      <formula>NOT(ISERROR(SEARCH("Por iniciar",I1)))</formula>
    </cfRule>
  </conditionalFormatting>
  <dataValidations count="1">
    <dataValidation type="list" showInputMessage="1" showErrorMessage="1" sqref="F3:F17" xr:uid="{EBDC4E01-5D24-49BA-A6D2-275296E3FF85}">
      <formula1>"✅,No,"</formula1>
    </dataValidation>
  </dataValidations>
  <hyperlinks>
    <hyperlink ref="B25" r:id="rId1" display="../../../../../../../:x:/g/personal/paulina_oliveros_ibero_mx/IQDluwCsEew9T5xaEjth12XnAfh7GkgVY_Euiqzof0w8c5U?e=6r2eXe" xr:uid="{2B396B15-B9DF-4A3A-8D18-50E42BD0E5A7}"/>
  </hyperlinks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98E3-6C58-47A8-97FB-A757FFC7F585}">
  <dimension ref="A1:J27"/>
  <sheetViews>
    <sheetView topLeftCell="A3" workbookViewId="0">
      <selection activeCell="G28" sqref="G28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28.81640625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116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116</v>
      </c>
      <c r="B3" s="15" t="s">
        <v>12</v>
      </c>
      <c r="C3" s="9">
        <v>46042</v>
      </c>
      <c r="D3" s="9">
        <v>46043</v>
      </c>
      <c r="E3" s="10">
        <f t="shared" ref="E3:E16" si="0">NETWORKDAYS(C3,D3)</f>
        <v>2</v>
      </c>
      <c r="F3" s="6" t="s">
        <v>11</v>
      </c>
      <c r="G3" s="4"/>
      <c r="H3" s="4"/>
      <c r="I3" s="7" t="str">
        <f t="shared" ref="I3:I16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116</v>
      </c>
      <c r="B4" s="15" t="s">
        <v>14</v>
      </c>
      <c r="C4" s="9">
        <v>46043</v>
      </c>
      <c r="D4" s="9">
        <v>46044</v>
      </c>
      <c r="E4" s="10">
        <f t="shared" si="0"/>
        <v>2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116</v>
      </c>
      <c r="B5" s="15" t="s">
        <v>15</v>
      </c>
      <c r="C5" s="9">
        <v>46042</v>
      </c>
      <c r="D5" s="11">
        <v>46074</v>
      </c>
      <c r="E5" s="10">
        <f t="shared" si="0"/>
        <v>24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116</v>
      </c>
      <c r="B6" s="15" t="s">
        <v>16</v>
      </c>
      <c r="C6" s="9">
        <v>46068</v>
      </c>
      <c r="D6" s="11">
        <v>46101</v>
      </c>
      <c r="E6" s="10">
        <f t="shared" si="0"/>
        <v>25</v>
      </c>
      <c r="F6" s="6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116</v>
      </c>
      <c r="B7" s="15" t="s">
        <v>46</v>
      </c>
      <c r="C7" s="9">
        <v>46129</v>
      </c>
      <c r="D7" s="9">
        <v>46129</v>
      </c>
      <c r="E7" s="10">
        <f t="shared" si="0"/>
        <v>1</v>
      </c>
      <c r="F7" s="6" t="s">
        <v>13</v>
      </c>
      <c r="G7" s="4"/>
      <c r="H7" s="4"/>
      <c r="I7" s="7" t="str">
        <f t="shared" ca="1" si="1"/>
        <v>🟢 En proceso</v>
      </c>
    </row>
    <row r="8" spans="1:10" x14ac:dyDescent="0.35">
      <c r="A8" s="15" t="s">
        <v>116</v>
      </c>
      <c r="B8" s="8" t="s">
        <v>18</v>
      </c>
      <c r="C8" s="9">
        <v>46129</v>
      </c>
      <c r="D8" s="9">
        <v>46129</v>
      </c>
      <c r="E8" s="10">
        <f t="shared" si="0"/>
        <v>1</v>
      </c>
      <c r="F8" s="6" t="s">
        <v>13</v>
      </c>
      <c r="G8" s="4"/>
      <c r="H8" s="4"/>
      <c r="I8" s="7" t="str">
        <f t="shared" ca="1" si="1"/>
        <v>🟢 En proceso</v>
      </c>
      <c r="J8" t="s">
        <v>47</v>
      </c>
    </row>
    <row r="9" spans="1:10" x14ac:dyDescent="0.35">
      <c r="A9" s="15" t="s">
        <v>116</v>
      </c>
      <c r="B9" s="15" t="s">
        <v>74</v>
      </c>
      <c r="C9" s="9">
        <v>46129</v>
      </c>
      <c r="D9" s="9">
        <v>46129</v>
      </c>
      <c r="E9" s="10">
        <f>NETWORKDAYS(C9,D9)</f>
        <v>1</v>
      </c>
      <c r="F9" s="6" t="s">
        <v>13</v>
      </c>
      <c r="G9" s="4"/>
      <c r="H9" s="4"/>
      <c r="I9" s="7" t="str">
        <f ca="1">IF(F9="✅","✅ Completado",IF(TODAY()&lt;C9,"🟡 Por iniciar",IF(TODAY()&lt;=D9,"🟢 En proceso","🔴 Atrasado")))</f>
        <v>🟢 En proceso</v>
      </c>
    </row>
    <row r="10" spans="1:10" x14ac:dyDescent="0.35">
      <c r="A10" s="15" t="s">
        <v>116</v>
      </c>
      <c r="B10" s="15" t="s">
        <v>117</v>
      </c>
      <c r="C10" s="9">
        <v>46129</v>
      </c>
      <c r="D10" s="9">
        <v>46129</v>
      </c>
      <c r="E10" s="10">
        <f>NETWORKDAYS(C10,D10)</f>
        <v>1</v>
      </c>
      <c r="F10" s="6" t="s">
        <v>13</v>
      </c>
      <c r="G10" s="4"/>
      <c r="H10" s="21"/>
      <c r="I10" s="7" t="str">
        <f ca="1">IF(F10="✅","✅ Completado",IF(TODAY()&lt;C10,"🟡 Por iniciar",IF(TODAY()&lt;=D10,"🟢 En proceso","🔴 Atrasado")))</f>
        <v>🟢 En proceso</v>
      </c>
    </row>
    <row r="11" spans="1:10" x14ac:dyDescent="0.35">
      <c r="A11" s="15" t="s">
        <v>116</v>
      </c>
      <c r="B11" s="15" t="s">
        <v>118</v>
      </c>
      <c r="C11" s="9">
        <v>46174</v>
      </c>
      <c r="D11" s="9">
        <v>46203</v>
      </c>
      <c r="E11" s="10">
        <f>NETWORKDAYS(C11,D11)</f>
        <v>22</v>
      </c>
      <c r="F11" s="6" t="s">
        <v>13</v>
      </c>
      <c r="G11" s="4"/>
      <c r="H11" s="4" t="s">
        <v>119</v>
      </c>
      <c r="I11" s="7" t="str">
        <f ca="1">IF(F11="✅","✅ Completado",IF(TODAY()&lt;C11,"🟡 Por iniciar",IF(TODAY()&lt;=D11,"🟢 En proceso","🔴 Atrasado")))</f>
        <v>🟡 Por iniciar</v>
      </c>
    </row>
    <row r="12" spans="1:10" x14ac:dyDescent="0.35">
      <c r="A12" s="15" t="s">
        <v>116</v>
      </c>
      <c r="B12" s="15" t="s">
        <v>120</v>
      </c>
      <c r="C12" s="9">
        <v>46235</v>
      </c>
      <c r="D12" s="9">
        <v>46264</v>
      </c>
      <c r="E12" s="10">
        <f>NETWORKDAYS(C12,D12)</f>
        <v>20</v>
      </c>
      <c r="F12" s="6" t="s">
        <v>13</v>
      </c>
      <c r="G12" s="4"/>
      <c r="H12" s="4" t="s">
        <v>121</v>
      </c>
      <c r="I12" s="7" t="str">
        <f ca="1">IF(F12="✅","✅ Completado",IF(TODAY()&lt;C12,"🟡 Por iniciar",IF(TODAY()&lt;=D12,"🟢 En proceso","🔴 Atrasado")))</f>
        <v>🟡 Por iniciar</v>
      </c>
    </row>
    <row r="13" spans="1:10" x14ac:dyDescent="0.35">
      <c r="A13" s="15" t="s">
        <v>116</v>
      </c>
      <c r="B13" s="15" t="s">
        <v>38</v>
      </c>
      <c r="C13" s="9">
        <v>46266</v>
      </c>
      <c r="D13" s="9">
        <v>46267</v>
      </c>
      <c r="E13" s="10">
        <f>NETWORKDAYS(C13,D13)</f>
        <v>2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116</v>
      </c>
      <c r="B14" s="8" t="s">
        <v>55</v>
      </c>
      <c r="C14" s="9">
        <v>46267</v>
      </c>
      <c r="D14" s="9">
        <v>46268</v>
      </c>
      <c r="E14" s="4">
        <f t="shared" si="0"/>
        <v>2</v>
      </c>
      <c r="F14" s="6" t="s">
        <v>13</v>
      </c>
      <c r="G14" s="4"/>
      <c r="H14" s="4"/>
      <c r="I14" s="7" t="str">
        <f t="shared" ca="1" si="1"/>
        <v>🟡 Por iniciar</v>
      </c>
    </row>
    <row r="15" spans="1:10" x14ac:dyDescent="0.35">
      <c r="A15" s="15" t="s">
        <v>116</v>
      </c>
      <c r="B15" s="8" t="s">
        <v>43</v>
      </c>
      <c r="C15" s="9">
        <v>46268</v>
      </c>
      <c r="D15" s="9">
        <v>46269</v>
      </c>
      <c r="E15" s="4">
        <f t="shared" si="0"/>
        <v>2</v>
      </c>
      <c r="F15" s="6" t="s">
        <v>13</v>
      </c>
      <c r="G15" s="4"/>
      <c r="H15" s="4"/>
      <c r="I15" s="7" t="str">
        <f t="shared" ca="1" si="1"/>
        <v>🟡 Por iniciar</v>
      </c>
    </row>
    <row r="16" spans="1:10" x14ac:dyDescent="0.35">
      <c r="A16" s="15" t="s">
        <v>116</v>
      </c>
      <c r="B16" s="8" t="s">
        <v>44</v>
      </c>
      <c r="C16" s="9">
        <v>46269</v>
      </c>
      <c r="D16" s="9">
        <v>46270</v>
      </c>
      <c r="E16" s="4">
        <f t="shared" si="0"/>
        <v>1</v>
      </c>
      <c r="F16" s="6" t="s">
        <v>13</v>
      </c>
      <c r="G16" s="4"/>
      <c r="H16" s="4"/>
      <c r="I16" s="7" t="str">
        <f t="shared" ca="1" si="1"/>
        <v>🟡 Por iniciar</v>
      </c>
    </row>
    <row r="19" spans="1:5" x14ac:dyDescent="0.35">
      <c r="A19" s="18" t="s">
        <v>56</v>
      </c>
      <c r="B19" t="s">
        <v>122</v>
      </c>
      <c r="C19" s="2" t="s">
        <v>123</v>
      </c>
      <c r="E19" t="s">
        <v>124</v>
      </c>
    </row>
    <row r="20" spans="1:5" x14ac:dyDescent="0.35">
      <c r="B20" t="s">
        <v>125</v>
      </c>
      <c r="C20" s="2" t="s">
        <v>126</v>
      </c>
      <c r="E20" t="s">
        <v>124</v>
      </c>
    </row>
    <row r="21" spans="1:5" x14ac:dyDescent="0.35">
      <c r="B21" t="s">
        <v>127</v>
      </c>
      <c r="C21" s="2" t="s">
        <v>128</v>
      </c>
      <c r="E21" t="s">
        <v>124</v>
      </c>
    </row>
    <row r="22" spans="1:5" x14ac:dyDescent="0.35">
      <c r="B22" t="s">
        <v>129</v>
      </c>
      <c r="C22" s="2" t="s">
        <v>130</v>
      </c>
      <c r="E22" t="s">
        <v>131</v>
      </c>
    </row>
    <row r="25" spans="1:5" x14ac:dyDescent="0.35">
      <c r="B25" s="19" t="s">
        <v>132</v>
      </c>
    </row>
    <row r="27" spans="1:5" x14ac:dyDescent="0.35">
      <c r="B27" t="s">
        <v>133</v>
      </c>
    </row>
  </sheetData>
  <phoneticPr fontId="6" type="noConversion"/>
  <conditionalFormatting sqref="C1">
    <cfRule type="containsText" dxfId="120" priority="1" operator="containsText" text="✅">
      <formula>NOT(ISERROR(SEARCH("✅",C1)))</formula>
    </cfRule>
  </conditionalFormatting>
  <conditionalFormatting sqref="C3:H16">
    <cfRule type="expression" dxfId="119" priority="2">
      <formula>$I3="🔴 Atrasado"</formula>
    </cfRule>
  </conditionalFormatting>
  <conditionalFormatting sqref="F1:F1048576">
    <cfRule type="containsText" dxfId="118" priority="3" operator="containsText" text="✅">
      <formula>NOT(ISERROR(SEARCH("✅",F1)))</formula>
    </cfRule>
  </conditionalFormatting>
  <conditionalFormatting sqref="I1:I1048576">
    <cfRule type="containsText" dxfId="117" priority="4" operator="containsText" text="Completado">
      <formula>NOT(ISERROR(SEARCH("Completado",I1)))</formula>
    </cfRule>
    <cfRule type="containsText" dxfId="116" priority="5" operator="containsText" text="Atrasado">
      <formula>NOT(ISERROR(SEARCH("Atrasado",I1)))</formula>
    </cfRule>
    <cfRule type="containsText" dxfId="115" priority="6" operator="containsText" text="En proceso">
      <formula>NOT(ISERROR(SEARCH("En proceso",I1)))</formula>
    </cfRule>
    <cfRule type="containsText" dxfId="114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6" xr:uid="{745D3D33-BBBC-4901-BFBA-C09CCC02F82B}">
      <formula1>"✅,No,"</formula1>
    </dataValidation>
  </dataValidations>
  <hyperlinks>
    <hyperlink ref="B25" r:id="rId1" display="../../../../../../../:x:/g/personal/paulina_oliveros_ibero_mx/IQD8ugC1Lq2rRbTvb14RBH1jARp8t_2ur_0X73z4Vhrk0Y0?e=KoBF8l" xr:uid="{2CB15645-A486-4B52-9C97-C492FB47B944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CDC3-BE37-4598-8309-FDC3CA87C52C}">
  <dimension ref="A1:J26"/>
  <sheetViews>
    <sheetView workbookViewId="0">
      <selection activeCell="F24" sqref="F24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37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134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134</v>
      </c>
      <c r="B3" s="15" t="s">
        <v>12</v>
      </c>
      <c r="C3" s="9">
        <v>46057</v>
      </c>
      <c r="D3" s="9">
        <v>46058</v>
      </c>
      <c r="E3" s="10">
        <f t="shared" ref="E3:E16" si="0">NETWORKDAYS(C3,D3)</f>
        <v>2</v>
      </c>
      <c r="F3" s="6" t="s">
        <v>11</v>
      </c>
      <c r="G3" s="4"/>
      <c r="H3" s="4"/>
      <c r="I3" s="7" t="str">
        <f t="shared" ref="I3:I16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134</v>
      </c>
      <c r="B4" s="15" t="s">
        <v>14</v>
      </c>
      <c r="C4" s="9">
        <v>46058</v>
      </c>
      <c r="D4" s="9">
        <v>46059</v>
      </c>
      <c r="E4" s="10">
        <f t="shared" si="0"/>
        <v>2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134</v>
      </c>
      <c r="B5" s="15" t="s">
        <v>15</v>
      </c>
      <c r="C5" s="9">
        <v>46042</v>
      </c>
      <c r="D5" s="11">
        <v>46074</v>
      </c>
      <c r="E5" s="10">
        <f t="shared" si="0"/>
        <v>24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134</v>
      </c>
      <c r="B6" s="15" t="s">
        <v>16</v>
      </c>
      <c r="C6" s="9">
        <v>46059</v>
      </c>
      <c r="D6" s="11">
        <v>46065</v>
      </c>
      <c r="E6" s="10">
        <f t="shared" si="0"/>
        <v>5</v>
      </c>
      <c r="F6" s="6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134</v>
      </c>
      <c r="B7" s="15" t="s">
        <v>46</v>
      </c>
      <c r="C7" s="9">
        <v>46063</v>
      </c>
      <c r="D7" s="11">
        <v>46065</v>
      </c>
      <c r="E7" s="10">
        <f t="shared" si="0"/>
        <v>3</v>
      </c>
      <c r="F7" s="6" t="s">
        <v>11</v>
      </c>
      <c r="G7" s="4"/>
      <c r="H7" s="4"/>
      <c r="I7" s="7" t="str">
        <f t="shared" ca="1" si="1"/>
        <v>✅ Completado</v>
      </c>
    </row>
    <row r="8" spans="1:10" x14ac:dyDescent="0.35">
      <c r="A8" s="15" t="s">
        <v>134</v>
      </c>
      <c r="B8" s="8" t="s">
        <v>18</v>
      </c>
      <c r="C8" s="9">
        <v>46064</v>
      </c>
      <c r="D8" s="11">
        <v>46065</v>
      </c>
      <c r="E8" s="10">
        <f t="shared" si="0"/>
        <v>2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0" x14ac:dyDescent="0.35">
      <c r="A9" s="15" t="s">
        <v>134</v>
      </c>
      <c r="B9" s="15" t="s">
        <v>74</v>
      </c>
      <c r="C9" s="9">
        <v>46068</v>
      </c>
      <c r="D9" s="9">
        <v>46068</v>
      </c>
      <c r="E9" s="10">
        <f>NETWORKDAYS(C9,D9)</f>
        <v>0</v>
      </c>
      <c r="F9" s="6" t="s">
        <v>11</v>
      </c>
      <c r="G9" s="4"/>
      <c r="H9" s="4"/>
      <c r="I9" s="7" t="str">
        <f ca="1">IF(F9="✅","✅ Completado",IF(TODAY()&lt;C9,"🟡 Por iniciar",IF(TODAY()&lt;=D9,"🟢 En proceso","🔴 Atrasado")))</f>
        <v>✅ Completado</v>
      </c>
    </row>
    <row r="10" spans="1:10" x14ac:dyDescent="0.35">
      <c r="A10" s="15" t="s">
        <v>134</v>
      </c>
      <c r="B10" s="15" t="s">
        <v>117</v>
      </c>
      <c r="C10" s="9">
        <v>46068</v>
      </c>
      <c r="D10" s="9">
        <v>46068</v>
      </c>
      <c r="E10" s="10">
        <f>NETWORKDAYS(C10,D10)</f>
        <v>0</v>
      </c>
      <c r="F10" s="6" t="s">
        <v>11</v>
      </c>
      <c r="G10" s="4"/>
      <c r="H10" s="21"/>
      <c r="I10" s="7" t="str">
        <f ca="1">IF(F10="✅","✅ Completado",IF(TODAY()&lt;C10,"🟡 Por iniciar",IF(TODAY()&lt;=D10,"🟢 En proceso","🔴 Atrasado")))</f>
        <v>✅ Completado</v>
      </c>
    </row>
    <row r="11" spans="1:10" x14ac:dyDescent="0.35">
      <c r="A11" s="15" t="s">
        <v>134</v>
      </c>
      <c r="B11" s="15" t="s">
        <v>135</v>
      </c>
      <c r="C11" s="9">
        <v>46194</v>
      </c>
      <c r="D11" s="9">
        <v>46200</v>
      </c>
      <c r="E11" s="10">
        <f>NETWORKDAYS(C11,D11)</f>
        <v>5</v>
      </c>
      <c r="F11" s="6" t="s">
        <v>13</v>
      </c>
      <c r="G11" s="4"/>
      <c r="H11" s="4" t="s">
        <v>136</v>
      </c>
      <c r="I11" s="7" t="str">
        <f ca="1">IF(F11="✅","✅ Completado",IF(TODAY()&lt;C11,"🟡 Por iniciar",IF(TODAY()&lt;=D11,"🟢 En proceso","🔴 Atrasado")))</f>
        <v>🟡 Por iniciar</v>
      </c>
    </row>
    <row r="12" spans="1:10" x14ac:dyDescent="0.35">
      <c r="A12" s="15" t="s">
        <v>134</v>
      </c>
      <c r="B12" s="15" t="s">
        <v>120</v>
      </c>
      <c r="C12" s="9">
        <v>46200</v>
      </c>
      <c r="D12" s="9">
        <v>46200</v>
      </c>
      <c r="E12" s="10">
        <f>NETWORKDAYS(C12,D12)</f>
        <v>0</v>
      </c>
      <c r="F12" s="6" t="s">
        <v>13</v>
      </c>
      <c r="G12" s="4"/>
      <c r="H12" s="4"/>
      <c r="I12" s="7" t="str">
        <f ca="1">IF(F12="✅","✅ Completado",IF(TODAY()&lt;C12,"🟡 Por iniciar",IF(TODAY()&lt;=D12,"🟢 En proceso","🔴 Atrasado")))</f>
        <v>🟡 Por iniciar</v>
      </c>
    </row>
    <row r="13" spans="1:10" x14ac:dyDescent="0.35">
      <c r="A13" s="15" t="s">
        <v>134</v>
      </c>
      <c r="B13" s="15" t="s">
        <v>38</v>
      </c>
      <c r="C13" s="9">
        <v>46201</v>
      </c>
      <c r="D13" s="9">
        <v>46202</v>
      </c>
      <c r="E13" s="10">
        <f>NETWORKDAYS(C13,D13)</f>
        <v>1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134</v>
      </c>
      <c r="B14" s="8" t="s">
        <v>55</v>
      </c>
      <c r="C14" s="9">
        <v>46202</v>
      </c>
      <c r="D14" s="9">
        <v>46203</v>
      </c>
      <c r="E14" s="4">
        <f t="shared" si="0"/>
        <v>2</v>
      </c>
      <c r="F14" s="6" t="s">
        <v>13</v>
      </c>
      <c r="G14" s="4"/>
      <c r="H14" s="4"/>
      <c r="I14" s="7" t="str">
        <f t="shared" ca="1" si="1"/>
        <v>🟡 Por iniciar</v>
      </c>
    </row>
    <row r="15" spans="1:10" x14ac:dyDescent="0.35">
      <c r="A15" s="15" t="s">
        <v>134</v>
      </c>
      <c r="B15" s="8" t="s">
        <v>43</v>
      </c>
      <c r="C15" s="9">
        <v>46203</v>
      </c>
      <c r="D15" s="9">
        <v>46204</v>
      </c>
      <c r="E15" s="4">
        <f t="shared" si="0"/>
        <v>2</v>
      </c>
      <c r="F15" s="6" t="s">
        <v>13</v>
      </c>
      <c r="G15" s="4"/>
      <c r="H15" s="4"/>
      <c r="I15" s="7" t="str">
        <f t="shared" ca="1" si="1"/>
        <v>🟡 Por iniciar</v>
      </c>
    </row>
    <row r="16" spans="1:10" x14ac:dyDescent="0.35">
      <c r="A16" s="15" t="s">
        <v>134</v>
      </c>
      <c r="B16" s="8" t="s">
        <v>44</v>
      </c>
      <c r="C16" s="9">
        <v>46204</v>
      </c>
      <c r="D16" s="9">
        <v>46205</v>
      </c>
      <c r="E16" s="4">
        <f t="shared" si="0"/>
        <v>2</v>
      </c>
      <c r="F16" s="6" t="s">
        <v>13</v>
      </c>
      <c r="G16" s="4"/>
      <c r="H16" s="4"/>
      <c r="I16" s="7" t="str">
        <f t="shared" ca="1" si="1"/>
        <v>🟡 Por iniciar</v>
      </c>
    </row>
    <row r="19" spans="1:2" x14ac:dyDescent="0.35">
      <c r="A19" s="18" t="s">
        <v>56</v>
      </c>
      <c r="B19" s="17" t="s">
        <v>137</v>
      </c>
    </row>
    <row r="22" spans="1:2" x14ac:dyDescent="0.35">
      <c r="B22" t="s">
        <v>138</v>
      </c>
    </row>
    <row r="25" spans="1:2" x14ac:dyDescent="0.35">
      <c r="B25" s="19"/>
    </row>
    <row r="26" spans="1:2" x14ac:dyDescent="0.35">
      <c r="B26" t="s">
        <v>139</v>
      </c>
    </row>
  </sheetData>
  <phoneticPr fontId="6" type="noConversion"/>
  <conditionalFormatting sqref="C1">
    <cfRule type="containsText" dxfId="113" priority="1" operator="containsText" text="✅">
      <formula>NOT(ISERROR(SEARCH("✅",C1)))</formula>
    </cfRule>
  </conditionalFormatting>
  <conditionalFormatting sqref="C3:H16">
    <cfRule type="expression" dxfId="112" priority="2">
      <formula>$I3="🔴 Atrasado"</formula>
    </cfRule>
  </conditionalFormatting>
  <conditionalFormatting sqref="F1:F1048576">
    <cfRule type="containsText" dxfId="111" priority="3" operator="containsText" text="✅">
      <formula>NOT(ISERROR(SEARCH("✅",F1)))</formula>
    </cfRule>
  </conditionalFormatting>
  <conditionalFormatting sqref="I1:I1048576">
    <cfRule type="containsText" dxfId="110" priority="4" operator="containsText" text="Completado">
      <formula>NOT(ISERROR(SEARCH("Completado",I1)))</formula>
    </cfRule>
    <cfRule type="containsText" dxfId="109" priority="5" operator="containsText" text="Atrasado">
      <formula>NOT(ISERROR(SEARCH("Atrasado",I1)))</formula>
    </cfRule>
    <cfRule type="containsText" dxfId="108" priority="6" operator="containsText" text="En proceso">
      <formula>NOT(ISERROR(SEARCH("En proceso",I1)))</formula>
    </cfRule>
    <cfRule type="containsText" dxfId="107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6" xr:uid="{9DE78A68-72FD-4BAF-907C-6FFB8BB34852}">
      <formula1>"✅,No,"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DA27D-13A2-4A78-BDB2-16FB0E9E9002}">
  <dimension ref="A1:J24"/>
  <sheetViews>
    <sheetView workbookViewId="0">
      <selection activeCell="B24" sqref="B24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28.81640625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140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140</v>
      </c>
      <c r="B3" s="15" t="s">
        <v>12</v>
      </c>
      <c r="C3" s="9">
        <v>46057</v>
      </c>
      <c r="D3" s="9">
        <v>46058</v>
      </c>
      <c r="E3" s="10">
        <f t="shared" ref="E3:E16" si="0">NETWORKDAYS(C3,D3)</f>
        <v>2</v>
      </c>
      <c r="F3" s="6" t="s">
        <v>11</v>
      </c>
      <c r="G3" s="4"/>
      <c r="H3" s="4"/>
      <c r="I3" s="7" t="str">
        <f t="shared" ref="I3:I16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140</v>
      </c>
      <c r="B4" s="15" t="s">
        <v>14</v>
      </c>
      <c r="C4" s="9">
        <v>46058</v>
      </c>
      <c r="D4" s="9">
        <v>46059</v>
      </c>
      <c r="E4" s="10">
        <f t="shared" si="0"/>
        <v>2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140</v>
      </c>
      <c r="B5" s="15" t="s">
        <v>15</v>
      </c>
      <c r="C5" s="9">
        <v>46042</v>
      </c>
      <c r="D5" s="11">
        <v>46074</v>
      </c>
      <c r="E5" s="10">
        <f t="shared" si="0"/>
        <v>24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140</v>
      </c>
      <c r="B6" s="15" t="s">
        <v>16</v>
      </c>
      <c r="C6" s="9">
        <v>46074</v>
      </c>
      <c r="D6" s="11">
        <v>46080</v>
      </c>
      <c r="E6" s="10">
        <f t="shared" si="0"/>
        <v>5</v>
      </c>
      <c r="F6" s="6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140</v>
      </c>
      <c r="B7" s="15" t="s">
        <v>46</v>
      </c>
      <c r="C7" s="9">
        <v>46063</v>
      </c>
      <c r="D7" s="11">
        <v>46080</v>
      </c>
      <c r="E7" s="10">
        <f t="shared" si="0"/>
        <v>14</v>
      </c>
      <c r="F7" s="6" t="s">
        <v>11</v>
      </c>
      <c r="G7" s="4"/>
      <c r="H7" s="4"/>
      <c r="I7" s="7" t="str">
        <f t="shared" ca="1" si="1"/>
        <v>✅ Completado</v>
      </c>
    </row>
    <row r="8" spans="1:10" x14ac:dyDescent="0.35">
      <c r="A8" s="15" t="s">
        <v>140</v>
      </c>
      <c r="B8" s="8" t="s">
        <v>18</v>
      </c>
      <c r="C8" s="9">
        <v>46063</v>
      </c>
      <c r="D8" s="11">
        <v>46080</v>
      </c>
      <c r="E8" s="10">
        <f t="shared" si="0"/>
        <v>14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0" x14ac:dyDescent="0.35">
      <c r="A9" s="15" t="s">
        <v>140</v>
      </c>
      <c r="B9" s="15" t="s">
        <v>141</v>
      </c>
      <c r="C9" s="11">
        <v>46080</v>
      </c>
      <c r="D9" s="11">
        <v>46080</v>
      </c>
      <c r="E9" s="10">
        <f t="shared" si="0"/>
        <v>1</v>
      </c>
      <c r="F9" s="6" t="s">
        <v>11</v>
      </c>
      <c r="G9" s="4"/>
      <c r="H9" s="4"/>
      <c r="I9" s="7" t="str">
        <f t="shared" ca="1" si="1"/>
        <v>✅ Completado</v>
      </c>
    </row>
    <row r="10" spans="1:10" x14ac:dyDescent="0.35">
      <c r="A10" s="15" t="s">
        <v>140</v>
      </c>
      <c r="B10" s="15" t="s">
        <v>74</v>
      </c>
      <c r="C10" s="11">
        <v>46080</v>
      </c>
      <c r="D10" s="11">
        <v>46080</v>
      </c>
      <c r="E10" s="10">
        <f>NETWORKDAYS(C10,D10)</f>
        <v>1</v>
      </c>
      <c r="F10" s="6" t="s">
        <v>11</v>
      </c>
      <c r="G10" s="4"/>
      <c r="H10" s="4"/>
      <c r="I10" s="7" t="str">
        <f ca="1">IF(F10="✅","✅ Completado",IF(TODAY()&lt;C10,"🟡 Por iniciar",IF(TODAY()&lt;=D10,"🟢 En proceso","🔴 Atrasado")))</f>
        <v>✅ Completado</v>
      </c>
    </row>
    <row r="11" spans="1:10" x14ac:dyDescent="0.35">
      <c r="A11" s="15" t="s">
        <v>140</v>
      </c>
      <c r="B11" s="15" t="s">
        <v>117</v>
      </c>
      <c r="C11" s="11">
        <v>46080</v>
      </c>
      <c r="D11" s="11">
        <v>46080</v>
      </c>
      <c r="E11" s="10">
        <f>NETWORKDAYS(C11,D11)</f>
        <v>1</v>
      </c>
      <c r="F11" s="6" t="s">
        <v>11</v>
      </c>
      <c r="G11" s="4"/>
      <c r="H11" s="21"/>
      <c r="I11" s="7" t="str">
        <f ca="1">IF(F11="✅","✅ Completado",IF(TODAY()&lt;C11,"🟡 Por iniciar",IF(TODAY()&lt;=D11,"🟢 En proceso","🔴 Atrasado")))</f>
        <v>✅ Completado</v>
      </c>
    </row>
    <row r="12" spans="1:10" x14ac:dyDescent="0.35">
      <c r="A12" s="15" t="s">
        <v>140</v>
      </c>
      <c r="B12" s="15" t="s">
        <v>81</v>
      </c>
      <c r="C12" s="9">
        <v>46162</v>
      </c>
      <c r="D12" s="9">
        <v>46172</v>
      </c>
      <c r="E12" s="10">
        <f>NETWORKDAYS(C12,D12)</f>
        <v>8</v>
      </c>
      <c r="F12" s="6" t="s">
        <v>13</v>
      </c>
      <c r="G12" s="4"/>
      <c r="H12" s="4" t="s">
        <v>142</v>
      </c>
      <c r="I12" s="7" t="str">
        <f ca="1">IF(F12="✅","✅ Completado",IF(TODAY()&lt;C12,"🟡 Por iniciar",IF(TODAY()&lt;=D12,"🟢 En proceso","🔴 Atrasado")))</f>
        <v>🟡 Por iniciar</v>
      </c>
    </row>
    <row r="13" spans="1:10" x14ac:dyDescent="0.35">
      <c r="A13" s="15" t="s">
        <v>140</v>
      </c>
      <c r="B13" s="15" t="s">
        <v>38</v>
      </c>
      <c r="C13" s="9">
        <v>46163</v>
      </c>
      <c r="D13" s="9">
        <v>46173</v>
      </c>
      <c r="E13" s="10">
        <f>NETWORKDAYS(C13,D13)</f>
        <v>7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140</v>
      </c>
      <c r="B14" s="8" t="s">
        <v>55</v>
      </c>
      <c r="C14" s="9">
        <v>46164</v>
      </c>
      <c r="D14" s="9">
        <v>46174</v>
      </c>
      <c r="E14" s="4">
        <f t="shared" si="0"/>
        <v>7</v>
      </c>
      <c r="F14" s="6" t="s">
        <v>13</v>
      </c>
      <c r="G14" s="4"/>
      <c r="H14" s="4"/>
      <c r="I14" s="7" t="str">
        <f t="shared" ca="1" si="1"/>
        <v>🟡 Por iniciar</v>
      </c>
    </row>
    <row r="15" spans="1:10" x14ac:dyDescent="0.35">
      <c r="A15" s="15" t="s">
        <v>140</v>
      </c>
      <c r="B15" s="8" t="s">
        <v>43</v>
      </c>
      <c r="C15" s="9">
        <v>46165</v>
      </c>
      <c r="D15" s="9">
        <v>46175</v>
      </c>
      <c r="E15" s="4">
        <f t="shared" si="0"/>
        <v>7</v>
      </c>
      <c r="F15" s="6" t="s">
        <v>13</v>
      </c>
      <c r="G15" s="4"/>
      <c r="H15" s="4"/>
      <c r="I15" s="7" t="str">
        <f t="shared" ca="1" si="1"/>
        <v>🟡 Por iniciar</v>
      </c>
    </row>
    <row r="16" spans="1:10" x14ac:dyDescent="0.35">
      <c r="A16" s="15" t="s">
        <v>140</v>
      </c>
      <c r="B16" s="8" t="s">
        <v>44</v>
      </c>
      <c r="C16" s="9">
        <v>46166</v>
      </c>
      <c r="D16" s="9">
        <v>46176</v>
      </c>
      <c r="E16" s="4">
        <f t="shared" si="0"/>
        <v>8</v>
      </c>
      <c r="F16" s="6" t="s">
        <v>13</v>
      </c>
      <c r="G16" s="4"/>
      <c r="H16" s="4"/>
      <c r="I16" s="7" t="str">
        <f t="shared" ca="1" si="1"/>
        <v>🟡 Por iniciar</v>
      </c>
    </row>
    <row r="19" spans="1:2" x14ac:dyDescent="0.35">
      <c r="A19" s="18" t="s">
        <v>56</v>
      </c>
      <c r="B19" s="17" t="s">
        <v>143</v>
      </c>
    </row>
    <row r="24" spans="1:2" x14ac:dyDescent="0.35">
      <c r="B24" s="17" t="s">
        <v>100</v>
      </c>
    </row>
  </sheetData>
  <phoneticPr fontId="6" type="noConversion"/>
  <conditionalFormatting sqref="C1 F1:F1048576">
    <cfRule type="containsText" dxfId="106" priority="1" operator="containsText" text="✅">
      <formula>NOT(ISERROR(SEARCH("✅",C1)))</formula>
    </cfRule>
  </conditionalFormatting>
  <conditionalFormatting sqref="C3:H16">
    <cfRule type="expression" dxfId="105" priority="2">
      <formula>$I3="🔴 Atrasado"</formula>
    </cfRule>
  </conditionalFormatting>
  <conditionalFormatting sqref="I1:I1048576">
    <cfRule type="containsText" dxfId="104" priority="4" operator="containsText" text="Completado">
      <formula>NOT(ISERROR(SEARCH("Completado",I1)))</formula>
    </cfRule>
    <cfRule type="containsText" dxfId="103" priority="5" operator="containsText" text="Atrasado">
      <formula>NOT(ISERROR(SEARCH("Atrasado",I1)))</formula>
    </cfRule>
    <cfRule type="containsText" dxfId="102" priority="6" operator="containsText" text="En proceso">
      <formula>NOT(ISERROR(SEARCH("En proceso",I1)))</formula>
    </cfRule>
    <cfRule type="containsText" dxfId="101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6" xr:uid="{CDEDC8B2-7B93-4F81-A2CC-AAFF2747C081}">
      <formula1>"✅,No,"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C888-EAE0-4A95-BA81-81CA6517E6FB}">
  <dimension ref="A1:J26"/>
  <sheetViews>
    <sheetView workbookViewId="0">
      <selection activeCell="B20" sqref="B20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28.81640625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144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144</v>
      </c>
      <c r="B3" s="15" t="s">
        <v>12</v>
      </c>
      <c r="C3" s="9">
        <v>46057</v>
      </c>
      <c r="D3" s="9">
        <v>46058</v>
      </c>
      <c r="E3" s="10">
        <f t="shared" ref="E3:E17" si="0">NETWORKDAYS(C3,D3)</f>
        <v>2</v>
      </c>
      <c r="F3" s="6" t="s">
        <v>11</v>
      </c>
      <c r="G3" s="4"/>
      <c r="H3" s="4"/>
      <c r="I3" s="7" t="str">
        <f t="shared" ref="I3:I17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144</v>
      </c>
      <c r="B4" s="15" t="s">
        <v>14</v>
      </c>
      <c r="C4" s="9">
        <v>46058</v>
      </c>
      <c r="D4" s="9">
        <v>46059</v>
      </c>
      <c r="E4" s="10">
        <f t="shared" si="0"/>
        <v>2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144</v>
      </c>
      <c r="B5" s="15" t="s">
        <v>15</v>
      </c>
      <c r="C5" s="9">
        <v>46042</v>
      </c>
      <c r="D5" s="11">
        <v>46074</v>
      </c>
      <c r="E5" s="10">
        <f t="shared" si="0"/>
        <v>24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144</v>
      </c>
      <c r="B6" s="15" t="s">
        <v>16</v>
      </c>
      <c r="C6" s="9">
        <v>46074</v>
      </c>
      <c r="D6" s="11">
        <v>46095</v>
      </c>
      <c r="E6" s="10">
        <f t="shared" si="0"/>
        <v>15</v>
      </c>
      <c r="F6" s="6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144</v>
      </c>
      <c r="B7" s="15" t="s">
        <v>46</v>
      </c>
      <c r="C7" s="9">
        <v>46122</v>
      </c>
      <c r="D7" s="11">
        <v>46125</v>
      </c>
      <c r="E7" s="10">
        <f t="shared" si="0"/>
        <v>2</v>
      </c>
      <c r="F7" s="6" t="s">
        <v>11</v>
      </c>
      <c r="G7" s="4"/>
      <c r="H7" s="4"/>
      <c r="I7" s="7" t="str">
        <f t="shared" ca="1" si="1"/>
        <v>✅ Completado</v>
      </c>
    </row>
    <row r="8" spans="1:10" x14ac:dyDescent="0.35">
      <c r="A8" s="15" t="s">
        <v>144</v>
      </c>
      <c r="B8" s="8" t="s">
        <v>18</v>
      </c>
      <c r="C8" s="9">
        <v>46122</v>
      </c>
      <c r="D8" s="11">
        <v>46125</v>
      </c>
      <c r="E8" s="10">
        <f t="shared" si="0"/>
        <v>2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0" x14ac:dyDescent="0.35">
      <c r="A9" s="15" t="s">
        <v>144</v>
      </c>
      <c r="B9" s="15" t="s">
        <v>141</v>
      </c>
      <c r="C9" s="11">
        <v>46127</v>
      </c>
      <c r="D9" s="11">
        <v>46127</v>
      </c>
      <c r="E9" s="10">
        <f t="shared" si="0"/>
        <v>1</v>
      </c>
      <c r="F9" s="6" t="s">
        <v>11</v>
      </c>
      <c r="G9" s="4"/>
      <c r="H9" s="4"/>
      <c r="I9" s="7" t="str">
        <f t="shared" ca="1" si="1"/>
        <v>✅ Completado</v>
      </c>
    </row>
    <row r="10" spans="1:10" x14ac:dyDescent="0.35">
      <c r="A10" s="15" t="s">
        <v>144</v>
      </c>
      <c r="B10" s="15" t="s">
        <v>74</v>
      </c>
      <c r="C10" s="11">
        <v>46125</v>
      </c>
      <c r="D10" s="11">
        <v>46125</v>
      </c>
      <c r="E10" s="10">
        <f>NETWORKDAYS(C10,D10)</f>
        <v>1</v>
      </c>
      <c r="F10" s="6" t="s">
        <v>11</v>
      </c>
      <c r="G10" s="4"/>
      <c r="H10" s="4"/>
      <c r="I10" s="7" t="str">
        <f ca="1">IF(F10="✅","✅ Completado",IF(TODAY()&lt;C10,"🟡 Por iniciar",IF(TODAY()&lt;=D10,"🟢 En proceso","🔴 Atrasado")))</f>
        <v>✅ Completado</v>
      </c>
    </row>
    <row r="11" spans="1:10" x14ac:dyDescent="0.35">
      <c r="A11" s="15" t="s">
        <v>144</v>
      </c>
      <c r="B11" s="15" t="s">
        <v>117</v>
      </c>
      <c r="C11" s="11">
        <v>46126</v>
      </c>
      <c r="D11" s="11">
        <v>46126</v>
      </c>
      <c r="E11" s="10">
        <f>NETWORKDAYS(C11,D11)</f>
        <v>1</v>
      </c>
      <c r="F11" s="6" t="s">
        <v>11</v>
      </c>
      <c r="G11" s="4"/>
      <c r="H11" s="21"/>
      <c r="I11" s="7" t="str">
        <f ca="1">IF(F11="✅","✅ Completado",IF(TODAY()&lt;C11,"🟡 Por iniciar",IF(TODAY()&lt;=D11,"🟢 En proceso","🔴 Atrasado")))</f>
        <v>✅ Completado</v>
      </c>
    </row>
    <row r="12" spans="1:10" x14ac:dyDescent="0.35">
      <c r="A12" s="15" t="s">
        <v>144</v>
      </c>
      <c r="B12" s="15" t="s">
        <v>145</v>
      </c>
      <c r="C12" s="9">
        <v>46143</v>
      </c>
      <c r="D12" s="9">
        <v>46172</v>
      </c>
      <c r="E12" s="10">
        <f>NETWORKDAYS(C12,D12)</f>
        <v>21</v>
      </c>
      <c r="F12" s="6" t="s">
        <v>13</v>
      </c>
      <c r="G12" s="4"/>
      <c r="H12" s="4" t="s">
        <v>146</v>
      </c>
      <c r="I12" s="7" t="str">
        <f ca="1">IF(F12="✅","✅ Completado",IF(TODAY()&lt;C12,"🟡 Por iniciar",IF(TODAY()&lt;=D12,"🟢 En proceso","🔴 Atrasado")))</f>
        <v>🟡 Por iniciar</v>
      </c>
    </row>
    <row r="13" spans="1:10" x14ac:dyDescent="0.35">
      <c r="A13" s="15" t="s">
        <v>144</v>
      </c>
      <c r="B13" s="15" t="s">
        <v>147</v>
      </c>
      <c r="C13" s="9">
        <v>46174</v>
      </c>
      <c r="D13" s="9">
        <v>46203</v>
      </c>
      <c r="E13" s="10">
        <f>NETWORKDAYS(C13,D13)</f>
        <v>22</v>
      </c>
      <c r="F13" s="6" t="s">
        <v>13</v>
      </c>
      <c r="G13" s="4"/>
      <c r="H13" s="4" t="s">
        <v>148</v>
      </c>
      <c r="I13" s="7" t="str">
        <f ca="1">IF(F13="✅","✅ Completado",IF(TODAY()&lt;C13,"🟡 Por iniciar",IF(TODAY()&lt;=D13,"🟢 En proceso","🔴 Atrasado")))</f>
        <v>🟡 Por iniciar</v>
      </c>
    </row>
    <row r="14" spans="1:10" x14ac:dyDescent="0.35">
      <c r="A14" s="15" t="s">
        <v>144</v>
      </c>
      <c r="B14" s="15" t="s">
        <v>38</v>
      </c>
      <c r="C14" s="9">
        <v>46175</v>
      </c>
      <c r="D14" s="9">
        <v>46204</v>
      </c>
      <c r="E14" s="10">
        <f>NETWORKDAYS(C14,D14)</f>
        <v>22</v>
      </c>
      <c r="F14" s="6" t="s">
        <v>13</v>
      </c>
      <c r="G14" s="4"/>
      <c r="H14" s="4"/>
      <c r="I14" s="7" t="str">
        <f t="shared" ca="1" si="1"/>
        <v>🟡 Por iniciar</v>
      </c>
    </row>
    <row r="15" spans="1:10" x14ac:dyDescent="0.35">
      <c r="A15" s="15" t="s">
        <v>144</v>
      </c>
      <c r="B15" s="8" t="s">
        <v>55</v>
      </c>
      <c r="C15" s="9">
        <v>46176</v>
      </c>
      <c r="D15" s="9">
        <v>46205</v>
      </c>
      <c r="E15" s="4">
        <f t="shared" si="0"/>
        <v>22</v>
      </c>
      <c r="F15" s="6" t="s">
        <v>13</v>
      </c>
      <c r="G15" s="4"/>
      <c r="H15" s="4"/>
      <c r="I15" s="7" t="str">
        <f t="shared" ca="1" si="1"/>
        <v>🟡 Por iniciar</v>
      </c>
    </row>
    <row r="16" spans="1:10" x14ac:dyDescent="0.35">
      <c r="A16" s="15" t="s">
        <v>144</v>
      </c>
      <c r="B16" s="8" t="s">
        <v>43</v>
      </c>
      <c r="C16" s="9">
        <v>46177</v>
      </c>
      <c r="D16" s="9">
        <v>46206</v>
      </c>
      <c r="E16" s="4">
        <f t="shared" si="0"/>
        <v>22</v>
      </c>
      <c r="F16" s="6" t="s">
        <v>13</v>
      </c>
      <c r="G16" s="4"/>
      <c r="H16" s="4"/>
      <c r="I16" s="7" t="str">
        <f t="shared" ca="1" si="1"/>
        <v>🟡 Por iniciar</v>
      </c>
    </row>
    <row r="17" spans="1:9" x14ac:dyDescent="0.35">
      <c r="A17" s="15" t="s">
        <v>144</v>
      </c>
      <c r="B17" s="8" t="s">
        <v>44</v>
      </c>
      <c r="C17" s="9">
        <v>46178</v>
      </c>
      <c r="D17" s="9">
        <v>46207</v>
      </c>
      <c r="E17" s="4">
        <f t="shared" si="0"/>
        <v>21</v>
      </c>
      <c r="F17" s="6" t="s">
        <v>13</v>
      </c>
      <c r="G17" s="4"/>
      <c r="H17" s="4"/>
      <c r="I17" s="7" t="str">
        <f t="shared" ca="1" si="1"/>
        <v>🟡 Por iniciar</v>
      </c>
    </row>
    <row r="20" spans="1:9" x14ac:dyDescent="0.35">
      <c r="A20" s="18" t="s">
        <v>56</v>
      </c>
      <c r="B20" s="17" t="s">
        <v>149</v>
      </c>
    </row>
    <row r="21" spans="1:9" x14ac:dyDescent="0.35">
      <c r="B21" s="17"/>
    </row>
    <row r="23" spans="1:9" x14ac:dyDescent="0.35">
      <c r="B23" s="19" t="s">
        <v>150</v>
      </c>
    </row>
    <row r="25" spans="1:9" x14ac:dyDescent="0.35">
      <c r="B25" t="s">
        <v>151</v>
      </c>
    </row>
    <row r="26" spans="1:9" x14ac:dyDescent="0.35">
      <c r="B26" s="19"/>
    </row>
  </sheetData>
  <phoneticPr fontId="6" type="noConversion"/>
  <conditionalFormatting sqref="C1">
    <cfRule type="containsText" dxfId="100" priority="1" operator="containsText" text="✅">
      <formula>NOT(ISERROR(SEARCH("✅",C1)))</formula>
    </cfRule>
  </conditionalFormatting>
  <conditionalFormatting sqref="C3:H17">
    <cfRule type="expression" dxfId="99" priority="2">
      <formula>$I3="🔴 Atrasado"</formula>
    </cfRule>
  </conditionalFormatting>
  <conditionalFormatting sqref="F1:F1048576">
    <cfRule type="containsText" dxfId="98" priority="3" operator="containsText" text="✅">
      <formula>NOT(ISERROR(SEARCH("✅",F1)))</formula>
    </cfRule>
  </conditionalFormatting>
  <conditionalFormatting sqref="I1:I1048576">
    <cfRule type="containsText" dxfId="97" priority="4" operator="containsText" text="Completado">
      <formula>NOT(ISERROR(SEARCH("Completado",I1)))</formula>
    </cfRule>
    <cfRule type="containsText" dxfId="96" priority="5" operator="containsText" text="Atrasado">
      <formula>NOT(ISERROR(SEARCH("Atrasado",I1)))</formula>
    </cfRule>
    <cfRule type="containsText" dxfId="95" priority="6" operator="containsText" text="En proceso">
      <formula>NOT(ISERROR(SEARCH("En proceso",I1)))</formula>
    </cfRule>
    <cfRule type="containsText" dxfId="94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7" xr:uid="{E794BEEB-423A-48A7-96B5-97164360F97C}">
      <formula1>"✅,No,"</formula1>
    </dataValidation>
  </dataValidations>
  <hyperlinks>
    <hyperlink ref="B23" r:id="rId1" display="../../../../../../../:x:/g/personal/paulina_oliveros_ibero_mx/IQC7UMsont1aRoclGprEvsnwAQZe9rTexF0nMCLDEwm37SM?e=xbp1p9" xr:uid="{68C6B5B7-190F-448A-BBD6-4D42CB3BC72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D3C6-75E6-4A71-8449-0C3207F3995E}">
  <dimension ref="A1:K22"/>
  <sheetViews>
    <sheetView workbookViewId="0">
      <selection activeCell="E26" sqref="E26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28.81640625" customWidth="1"/>
    <col min="9" max="9" width="16.81640625" bestFit="1" customWidth="1"/>
    <col min="11" max="11" width="11.26953125" bestFit="1" customWidth="1"/>
  </cols>
  <sheetData>
    <row r="1" spans="1:11" ht="23.5" x14ac:dyDescent="0.55000000000000004">
      <c r="B1" s="16" t="s">
        <v>152</v>
      </c>
      <c r="C1"/>
      <c r="D1"/>
    </row>
    <row r="2" spans="1:11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1" x14ac:dyDescent="0.35">
      <c r="A3" s="15" t="s">
        <v>152</v>
      </c>
      <c r="B3" s="15" t="s">
        <v>12</v>
      </c>
      <c r="C3" s="9">
        <v>46063</v>
      </c>
      <c r="D3" s="9">
        <v>46068</v>
      </c>
      <c r="E3" s="10">
        <f t="shared" ref="E3:E15" si="0">NETWORKDAYS(C3,D3)</f>
        <v>4</v>
      </c>
      <c r="F3" s="6" t="s">
        <v>11</v>
      </c>
      <c r="G3" s="4"/>
      <c r="H3" s="4"/>
      <c r="I3" s="7" t="str">
        <f t="shared" ref="I3:I15" ca="1" si="1">IF(F3="✅","✅ Completado",IF(TODAY()&lt;C3,"🟡 Por iniciar",IF(TODAY()&lt;=D3,"🟢 En proceso","🔴 Atrasado")))</f>
        <v>✅ Completado</v>
      </c>
    </row>
    <row r="4" spans="1:11" x14ac:dyDescent="0.35">
      <c r="A4" s="15" t="s">
        <v>152</v>
      </c>
      <c r="B4" s="15" t="s">
        <v>14</v>
      </c>
      <c r="C4" s="9">
        <v>46068</v>
      </c>
      <c r="D4" s="9">
        <v>46075</v>
      </c>
      <c r="E4" s="10">
        <f t="shared" si="0"/>
        <v>5</v>
      </c>
      <c r="F4" s="6" t="s">
        <v>11</v>
      </c>
      <c r="G4" s="4"/>
      <c r="H4" s="4"/>
      <c r="I4" s="7" t="str">
        <f t="shared" ca="1" si="1"/>
        <v>✅ Completado</v>
      </c>
    </row>
    <row r="5" spans="1:11" x14ac:dyDescent="0.35">
      <c r="A5" s="15" t="s">
        <v>152</v>
      </c>
      <c r="B5" s="15" t="s">
        <v>15</v>
      </c>
      <c r="C5" s="9">
        <v>46068</v>
      </c>
      <c r="D5" s="9">
        <v>46075</v>
      </c>
      <c r="E5" s="10">
        <f t="shared" si="0"/>
        <v>5</v>
      </c>
      <c r="F5" s="6" t="s">
        <v>11</v>
      </c>
      <c r="G5" s="4"/>
      <c r="H5" s="4"/>
      <c r="I5" s="7" t="str">
        <f t="shared" ca="1" si="1"/>
        <v>✅ Completado</v>
      </c>
      <c r="K5" t="s">
        <v>97</v>
      </c>
    </row>
    <row r="6" spans="1:11" x14ac:dyDescent="0.35">
      <c r="A6" s="15" t="s">
        <v>152</v>
      </c>
      <c r="B6" s="15" t="s">
        <v>16</v>
      </c>
      <c r="C6" s="9">
        <v>46069</v>
      </c>
      <c r="D6" s="11">
        <v>46080</v>
      </c>
      <c r="E6" s="10">
        <f t="shared" si="0"/>
        <v>10</v>
      </c>
      <c r="F6" s="6" t="s">
        <v>11</v>
      </c>
      <c r="G6" s="4"/>
      <c r="H6" s="4"/>
      <c r="I6" s="7" t="str">
        <f t="shared" ca="1" si="1"/>
        <v>✅ Completado</v>
      </c>
    </row>
    <row r="7" spans="1:11" x14ac:dyDescent="0.35">
      <c r="A7" s="15" t="s">
        <v>152</v>
      </c>
      <c r="B7" s="15" t="s">
        <v>46</v>
      </c>
      <c r="C7" s="9">
        <v>46069</v>
      </c>
      <c r="D7" s="11">
        <v>46080</v>
      </c>
      <c r="E7" s="10">
        <f t="shared" si="0"/>
        <v>10</v>
      </c>
      <c r="F7" s="6" t="s">
        <v>11</v>
      </c>
      <c r="G7" s="4"/>
      <c r="H7" s="4"/>
      <c r="I7" s="7" t="str">
        <f t="shared" ca="1" si="1"/>
        <v>✅ Completado</v>
      </c>
    </row>
    <row r="8" spans="1:11" x14ac:dyDescent="0.35">
      <c r="A8" s="15" t="s">
        <v>152</v>
      </c>
      <c r="B8" s="8" t="s">
        <v>18</v>
      </c>
      <c r="C8" s="9">
        <v>46069</v>
      </c>
      <c r="D8" s="11">
        <v>46080</v>
      </c>
      <c r="E8" s="10">
        <f t="shared" si="0"/>
        <v>10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1" x14ac:dyDescent="0.35">
      <c r="A9" s="15" t="s">
        <v>152</v>
      </c>
      <c r="B9" s="15" t="s">
        <v>74</v>
      </c>
      <c r="C9" s="9">
        <v>46087</v>
      </c>
      <c r="D9" s="9">
        <v>46087</v>
      </c>
      <c r="E9" s="10">
        <f>NETWORKDAYS(C9,D9)</f>
        <v>1</v>
      </c>
      <c r="F9" s="6" t="s">
        <v>11</v>
      </c>
      <c r="G9" s="4"/>
      <c r="H9" s="4"/>
      <c r="I9" s="7" t="str">
        <f ca="1">IF(F9="✅","✅ Completado",IF(TODAY()&lt;C9,"🟡 Por iniciar",IF(TODAY()&lt;=D9,"🟢 En proceso","🔴 Atrasado")))</f>
        <v>✅ Completado</v>
      </c>
    </row>
    <row r="10" spans="1:11" x14ac:dyDescent="0.35">
      <c r="A10" s="15" t="s">
        <v>152</v>
      </c>
      <c r="B10" s="15" t="s">
        <v>153</v>
      </c>
      <c r="C10" s="9">
        <v>46125</v>
      </c>
      <c r="D10" s="9">
        <v>46126</v>
      </c>
      <c r="E10" s="10">
        <f>NETWORKDAYS(C10,D10)</f>
        <v>2</v>
      </c>
      <c r="F10" s="6" t="s">
        <v>13</v>
      </c>
      <c r="G10" s="4"/>
      <c r="H10" s="4"/>
      <c r="I10" s="7" t="str">
        <f ca="1">IF(F10="✅","✅ Completado",IF(TODAY()&lt;C10,"🟡 Por iniciar",IF(TODAY()&lt;=D10,"🟢 En proceso","🔴 Atrasado")))</f>
        <v>🔴 Atrasado</v>
      </c>
    </row>
    <row r="11" spans="1:11" x14ac:dyDescent="0.35">
      <c r="A11" s="15" t="s">
        <v>152</v>
      </c>
      <c r="B11" s="15" t="s">
        <v>154</v>
      </c>
      <c r="C11" s="9">
        <v>46129</v>
      </c>
      <c r="D11" s="9">
        <v>46129</v>
      </c>
      <c r="E11" s="10">
        <f>NETWORKDAYS(C11,D11)</f>
        <v>1</v>
      </c>
      <c r="F11" s="6" t="s">
        <v>13</v>
      </c>
      <c r="G11" s="4"/>
      <c r="H11" s="4"/>
      <c r="I11" s="7" t="str">
        <f ca="1">IF(F11="✅","✅ Completado",IF(TODAY()&lt;C11,"🟡 Por iniciar",IF(TODAY()&lt;=D11,"🟢 En proceso","🔴 Atrasado")))</f>
        <v>🟢 En proceso</v>
      </c>
    </row>
    <row r="12" spans="1:11" x14ac:dyDescent="0.35">
      <c r="A12" s="15" t="s">
        <v>152</v>
      </c>
      <c r="B12" s="15" t="s">
        <v>38</v>
      </c>
      <c r="C12" s="9">
        <v>46130</v>
      </c>
      <c r="D12" s="9">
        <v>46130</v>
      </c>
      <c r="E12" s="10">
        <f>NETWORKDAYS(C12,D12)</f>
        <v>0</v>
      </c>
      <c r="F12" s="6" t="s">
        <v>13</v>
      </c>
      <c r="G12" s="4"/>
      <c r="H12" s="4"/>
      <c r="I12" s="7" t="str">
        <f t="shared" ca="1" si="1"/>
        <v>🟡 Por iniciar</v>
      </c>
    </row>
    <row r="13" spans="1:11" x14ac:dyDescent="0.35">
      <c r="A13" s="15" t="s">
        <v>152</v>
      </c>
      <c r="B13" s="8" t="s">
        <v>55</v>
      </c>
      <c r="C13" s="9">
        <v>46131</v>
      </c>
      <c r="D13" s="9">
        <v>46131</v>
      </c>
      <c r="E13" s="4">
        <f t="shared" si="0"/>
        <v>0</v>
      </c>
      <c r="F13" s="6" t="s">
        <v>13</v>
      </c>
      <c r="G13" s="4"/>
      <c r="H13" s="4"/>
      <c r="I13" s="7" t="str">
        <f t="shared" ca="1" si="1"/>
        <v>🟡 Por iniciar</v>
      </c>
    </row>
    <row r="14" spans="1:11" x14ac:dyDescent="0.35">
      <c r="A14" s="15" t="s">
        <v>152</v>
      </c>
      <c r="B14" s="8" t="s">
        <v>43</v>
      </c>
      <c r="C14" s="9">
        <v>46132</v>
      </c>
      <c r="D14" s="9">
        <v>46132</v>
      </c>
      <c r="E14" s="4">
        <f t="shared" si="0"/>
        <v>1</v>
      </c>
      <c r="F14" s="6" t="s">
        <v>13</v>
      </c>
      <c r="G14" s="4"/>
      <c r="H14" s="4"/>
      <c r="I14" s="7" t="str">
        <f t="shared" ca="1" si="1"/>
        <v>🟡 Por iniciar</v>
      </c>
    </row>
    <row r="15" spans="1:11" x14ac:dyDescent="0.35">
      <c r="A15" s="15" t="s">
        <v>152</v>
      </c>
      <c r="B15" s="8" t="s">
        <v>44</v>
      </c>
      <c r="C15" s="9">
        <v>46133</v>
      </c>
      <c r="D15" s="9">
        <v>46133</v>
      </c>
      <c r="E15" s="4">
        <f t="shared" si="0"/>
        <v>1</v>
      </c>
      <c r="F15" s="6" t="s">
        <v>13</v>
      </c>
      <c r="G15" s="4"/>
      <c r="H15" s="4"/>
      <c r="I15" s="7" t="str">
        <f t="shared" ca="1" si="1"/>
        <v>🟡 Por iniciar</v>
      </c>
    </row>
    <row r="18" spans="1:2" x14ac:dyDescent="0.35">
      <c r="A18" s="18" t="s">
        <v>56</v>
      </c>
      <c r="B18" s="17" t="s">
        <v>155</v>
      </c>
    </row>
    <row r="19" spans="1:2" x14ac:dyDescent="0.35">
      <c r="B19" s="17" t="s">
        <v>156</v>
      </c>
    </row>
    <row r="20" spans="1:2" x14ac:dyDescent="0.35">
      <c r="B20" s="17" t="s">
        <v>157</v>
      </c>
    </row>
    <row r="22" spans="1:2" x14ac:dyDescent="0.35">
      <c r="B22" s="19" t="s">
        <v>158</v>
      </c>
    </row>
  </sheetData>
  <phoneticPr fontId="6" type="noConversion"/>
  <conditionalFormatting sqref="C1 F1:F1048576">
    <cfRule type="containsText" dxfId="93" priority="1" operator="containsText" text="✅">
      <formula>NOT(ISERROR(SEARCH("✅",C1)))</formula>
    </cfRule>
  </conditionalFormatting>
  <conditionalFormatting sqref="C3:H15">
    <cfRule type="expression" dxfId="92" priority="2">
      <formula>$I3="🔴 Atrasado"</formula>
    </cfRule>
  </conditionalFormatting>
  <conditionalFormatting sqref="I1:I1048576">
    <cfRule type="containsText" dxfId="91" priority="4" operator="containsText" text="Completado">
      <formula>NOT(ISERROR(SEARCH("Completado",I1)))</formula>
    </cfRule>
    <cfRule type="containsText" dxfId="90" priority="5" operator="containsText" text="Atrasado">
      <formula>NOT(ISERROR(SEARCH("Atrasado",I1)))</formula>
    </cfRule>
    <cfRule type="containsText" dxfId="89" priority="6" operator="containsText" text="En proceso">
      <formula>NOT(ISERROR(SEARCH("En proceso",I1)))</formula>
    </cfRule>
    <cfRule type="containsText" dxfId="88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5" xr:uid="{7A60B3FA-3615-48FA-8526-75026A71DF93}">
      <formula1>"✅,No,"</formula1>
    </dataValidation>
  </dataValidations>
  <hyperlinks>
    <hyperlink ref="B22" r:id="rId1" display="../../../../../../../:x:/g/personal/paulina_oliveros_ibero_mx/IQBQJ7Lj8kzASqaq34tfljeQAeO1TOk0npz58iyRmtUvaSY?e=zzfLdB" xr:uid="{68FDD5EA-0427-4A61-AE54-AB295ECC2B76}"/>
  </hyperlink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E152-0C86-4FFC-A776-28CBD677E30A}">
  <dimension ref="A1:J23"/>
  <sheetViews>
    <sheetView workbookViewId="0">
      <selection activeCell="B23" sqref="B23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28.81640625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159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159</v>
      </c>
      <c r="B3" s="15" t="s">
        <v>12</v>
      </c>
      <c r="C3" s="9">
        <v>46063</v>
      </c>
      <c r="D3" s="9">
        <v>46068</v>
      </c>
      <c r="E3" s="10">
        <f t="shared" ref="E3:E15" si="0">NETWORKDAYS(C3,D3)</f>
        <v>4</v>
      </c>
      <c r="F3" s="6" t="s">
        <v>11</v>
      </c>
      <c r="G3" s="4"/>
      <c r="H3" s="4"/>
      <c r="I3" s="7" t="str">
        <f t="shared" ref="I3:I15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159</v>
      </c>
      <c r="B4" s="15" t="s">
        <v>14</v>
      </c>
      <c r="C4" s="9">
        <v>46068</v>
      </c>
      <c r="D4" s="9">
        <v>46075</v>
      </c>
      <c r="E4" s="10">
        <f t="shared" si="0"/>
        <v>5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159</v>
      </c>
      <c r="B5" s="15" t="s">
        <v>15</v>
      </c>
      <c r="C5" s="9">
        <v>46068</v>
      </c>
      <c r="D5" s="9">
        <v>46075</v>
      </c>
      <c r="E5" s="10">
        <f t="shared" si="0"/>
        <v>5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159</v>
      </c>
      <c r="B6" s="15" t="s">
        <v>16</v>
      </c>
      <c r="C6" s="9">
        <v>46069</v>
      </c>
      <c r="D6" s="11">
        <v>46080</v>
      </c>
      <c r="E6" s="10">
        <f t="shared" si="0"/>
        <v>10</v>
      </c>
      <c r="F6" s="6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159</v>
      </c>
      <c r="B7" s="15" t="s">
        <v>46</v>
      </c>
      <c r="C7" s="9">
        <v>46085</v>
      </c>
      <c r="D7" s="11">
        <v>46085</v>
      </c>
      <c r="E7" s="10">
        <f t="shared" si="0"/>
        <v>1</v>
      </c>
      <c r="F7" s="6" t="s">
        <v>11</v>
      </c>
      <c r="G7" s="4"/>
      <c r="H7" s="4"/>
      <c r="I7" s="7" t="str">
        <f t="shared" ca="1" si="1"/>
        <v>✅ Completado</v>
      </c>
    </row>
    <row r="8" spans="1:10" x14ac:dyDescent="0.35">
      <c r="A8" s="15" t="s">
        <v>159</v>
      </c>
      <c r="B8" s="8" t="s">
        <v>18</v>
      </c>
      <c r="C8" s="9">
        <v>46085</v>
      </c>
      <c r="D8" s="11">
        <v>46085</v>
      </c>
      <c r="E8" s="10">
        <f t="shared" si="0"/>
        <v>1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0" x14ac:dyDescent="0.35">
      <c r="A9" s="15" t="s">
        <v>159</v>
      </c>
      <c r="B9" s="15" t="s">
        <v>160</v>
      </c>
      <c r="C9" s="9">
        <v>46087</v>
      </c>
      <c r="D9" s="9">
        <v>46087</v>
      </c>
      <c r="E9" s="10">
        <f>NETWORKDAYS(C9,D9)</f>
        <v>1</v>
      </c>
      <c r="F9" s="6" t="s">
        <v>11</v>
      </c>
      <c r="G9" s="4"/>
      <c r="H9" s="4"/>
      <c r="I9" s="7" t="str">
        <f ca="1">IF(F9="✅","✅ Completado",IF(TODAY()&lt;C9,"🟡 Por iniciar",IF(TODAY()&lt;=D9,"🟢 En proceso","🔴 Atrasado")))</f>
        <v>✅ Completado</v>
      </c>
    </row>
    <row r="10" spans="1:10" x14ac:dyDescent="0.35">
      <c r="A10" s="15" t="s">
        <v>159</v>
      </c>
      <c r="B10" s="15" t="s">
        <v>161</v>
      </c>
      <c r="C10" s="9">
        <v>46185</v>
      </c>
      <c r="D10" s="9">
        <v>46185</v>
      </c>
      <c r="E10" s="10">
        <f>NETWORKDAYS(C10,D10)</f>
        <v>1</v>
      </c>
      <c r="F10" s="6" t="s">
        <v>13</v>
      </c>
      <c r="G10" s="4"/>
      <c r="H10" s="4"/>
      <c r="I10" s="7" t="str">
        <f ca="1">IF(F10="✅","✅ Completado",IF(TODAY()&lt;C10,"🟡 Por iniciar",IF(TODAY()&lt;=D10,"🟢 En proceso","🔴 Atrasado")))</f>
        <v>🟡 Por iniciar</v>
      </c>
    </row>
    <row r="11" spans="1:10" x14ac:dyDescent="0.35">
      <c r="A11" s="15" t="s">
        <v>159</v>
      </c>
      <c r="B11" s="15" t="s">
        <v>154</v>
      </c>
      <c r="C11" s="9"/>
      <c r="D11" s="9"/>
      <c r="E11" s="10"/>
      <c r="F11" s="6" t="s">
        <v>13</v>
      </c>
      <c r="G11" s="4"/>
      <c r="H11" s="4" t="s">
        <v>162</v>
      </c>
      <c r="I11" s="7" t="str">
        <f ca="1">IF(F11="✅","✅ Completado",IF(TODAY()&lt;C11,"🟡 Por iniciar",IF(TODAY()&lt;=D11,"🟢 En proceso","🔴 Atrasado")))</f>
        <v>🔴 Atrasado</v>
      </c>
    </row>
    <row r="12" spans="1:10" x14ac:dyDescent="0.35">
      <c r="A12" s="15" t="s">
        <v>159</v>
      </c>
      <c r="B12" s="15" t="s">
        <v>38</v>
      </c>
      <c r="C12" s="9">
        <v>46221</v>
      </c>
      <c r="D12" s="9">
        <v>46221</v>
      </c>
      <c r="E12" s="10">
        <f>NETWORKDAYS(C12,D12)</f>
        <v>0</v>
      </c>
      <c r="F12" s="6" t="s">
        <v>13</v>
      </c>
      <c r="G12" s="4"/>
      <c r="H12" s="4"/>
      <c r="I12" s="7" t="str">
        <f t="shared" ca="1" si="1"/>
        <v>🟡 Por iniciar</v>
      </c>
    </row>
    <row r="13" spans="1:10" x14ac:dyDescent="0.35">
      <c r="A13" s="15" t="s">
        <v>159</v>
      </c>
      <c r="B13" s="8" t="s">
        <v>55</v>
      </c>
      <c r="C13" s="9">
        <v>46222</v>
      </c>
      <c r="D13" s="9">
        <v>46222</v>
      </c>
      <c r="E13" s="10">
        <f t="shared" si="0"/>
        <v>0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159</v>
      </c>
      <c r="B14" s="8" t="s">
        <v>43</v>
      </c>
      <c r="C14" s="9">
        <v>46223</v>
      </c>
      <c r="D14" s="9">
        <v>46223</v>
      </c>
      <c r="E14" s="10">
        <f t="shared" si="0"/>
        <v>1</v>
      </c>
      <c r="F14" s="6" t="s">
        <v>13</v>
      </c>
      <c r="G14" s="4"/>
      <c r="H14" s="4"/>
      <c r="I14" s="7" t="str">
        <f t="shared" ca="1" si="1"/>
        <v>🟡 Por iniciar</v>
      </c>
    </row>
    <row r="15" spans="1:10" x14ac:dyDescent="0.35">
      <c r="A15" s="15" t="s">
        <v>159</v>
      </c>
      <c r="B15" s="8" t="s">
        <v>44</v>
      </c>
      <c r="C15" s="9">
        <v>46224</v>
      </c>
      <c r="D15" s="9">
        <v>46224</v>
      </c>
      <c r="E15" s="10">
        <f t="shared" si="0"/>
        <v>1</v>
      </c>
      <c r="F15" s="6" t="s">
        <v>13</v>
      </c>
      <c r="G15" s="4"/>
      <c r="H15" s="4"/>
      <c r="I15" s="7" t="str">
        <f t="shared" ca="1" si="1"/>
        <v>🟡 Por iniciar</v>
      </c>
    </row>
    <row r="18" spans="1:2" x14ac:dyDescent="0.35">
      <c r="A18" s="18" t="s">
        <v>56</v>
      </c>
      <c r="B18" s="17" t="s">
        <v>163</v>
      </c>
    </row>
    <row r="19" spans="1:2" x14ac:dyDescent="0.35">
      <c r="B19" s="17"/>
    </row>
    <row r="20" spans="1:2" x14ac:dyDescent="0.35">
      <c r="B20" s="17"/>
    </row>
    <row r="21" spans="1:2" x14ac:dyDescent="0.35">
      <c r="B21" t="s">
        <v>65</v>
      </c>
    </row>
    <row r="23" spans="1:2" x14ac:dyDescent="0.35">
      <c r="B23" t="s">
        <v>164</v>
      </c>
    </row>
  </sheetData>
  <phoneticPr fontId="6" type="noConversion"/>
  <conditionalFormatting sqref="C1">
    <cfRule type="containsText" dxfId="87" priority="1" operator="containsText" text="✅">
      <formula>NOT(ISERROR(SEARCH("✅",C1)))</formula>
    </cfRule>
  </conditionalFormatting>
  <conditionalFormatting sqref="C3:H15">
    <cfRule type="expression" dxfId="86" priority="2">
      <formula>$I3="🔴 Atrasado"</formula>
    </cfRule>
  </conditionalFormatting>
  <conditionalFormatting sqref="F1:F1048576">
    <cfRule type="containsText" dxfId="85" priority="3" operator="containsText" text="✅">
      <formula>NOT(ISERROR(SEARCH("✅",F1)))</formula>
    </cfRule>
  </conditionalFormatting>
  <conditionalFormatting sqref="I1:I1048576">
    <cfRule type="containsText" dxfId="84" priority="4" operator="containsText" text="Completado">
      <formula>NOT(ISERROR(SEARCH("Completado",I1)))</formula>
    </cfRule>
    <cfRule type="containsText" dxfId="83" priority="5" operator="containsText" text="Atrasado">
      <formula>NOT(ISERROR(SEARCH("Atrasado",I1)))</formula>
    </cfRule>
    <cfRule type="containsText" dxfId="82" priority="6" operator="containsText" text="En proceso">
      <formula>NOT(ISERROR(SEARCH("En proceso",I1)))</formula>
    </cfRule>
    <cfRule type="containsText" dxfId="81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5" xr:uid="{E70B2B1F-9FC3-4264-A8EF-5DA8390F2C81}">
      <formula1>"✅,No,"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96FE-DE9B-461F-9CBB-7D8F04571F75}">
  <dimension ref="A1:J32"/>
  <sheetViews>
    <sheetView workbookViewId="0">
      <selection activeCell="D29" sqref="D29"/>
    </sheetView>
  </sheetViews>
  <sheetFormatPr baseColWidth="10" defaultColWidth="8.81640625" defaultRowHeight="14.5" x14ac:dyDescent="0.35"/>
  <cols>
    <col min="1" max="1" width="39" customWidth="1"/>
    <col min="2" max="2" width="55.81640625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28.81640625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165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165</v>
      </c>
      <c r="B3" s="15" t="s">
        <v>12</v>
      </c>
      <c r="C3" s="9">
        <v>46070</v>
      </c>
      <c r="D3" s="9">
        <v>46070</v>
      </c>
      <c r="E3" s="10">
        <f t="shared" ref="E3:E25" si="0">NETWORKDAYS(C3,D3)</f>
        <v>1</v>
      </c>
      <c r="F3" s="6" t="s">
        <v>11</v>
      </c>
      <c r="G3" s="4"/>
      <c r="H3" s="4"/>
      <c r="I3" s="7" t="str">
        <f t="shared" ref="I3:I25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165</v>
      </c>
      <c r="B4" s="15" t="s">
        <v>14</v>
      </c>
      <c r="C4" s="9">
        <v>46070</v>
      </c>
      <c r="D4" s="9">
        <v>46070</v>
      </c>
      <c r="E4" s="10">
        <f t="shared" si="0"/>
        <v>1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165</v>
      </c>
      <c r="B5" s="15" t="s">
        <v>166</v>
      </c>
      <c r="C5" s="9">
        <v>46001</v>
      </c>
      <c r="D5" s="9">
        <v>46001</v>
      </c>
      <c r="E5" s="10">
        <v>1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165</v>
      </c>
      <c r="B6" s="15" t="s">
        <v>167</v>
      </c>
      <c r="C6" s="9">
        <v>46032</v>
      </c>
      <c r="D6" s="9">
        <v>46032</v>
      </c>
      <c r="E6" s="10">
        <v>1</v>
      </c>
      <c r="F6" s="6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165</v>
      </c>
      <c r="B7" s="15" t="s">
        <v>168</v>
      </c>
      <c r="C7" s="9">
        <v>46032</v>
      </c>
      <c r="D7" s="9">
        <v>46032</v>
      </c>
      <c r="E7" s="10">
        <v>1</v>
      </c>
      <c r="F7" s="6" t="s">
        <v>11</v>
      </c>
      <c r="G7" s="4"/>
      <c r="H7" s="4"/>
      <c r="I7" s="7" t="str">
        <f t="shared" ref="I7:I10" ca="1" si="2">IF(F7="✅","✅ Completado",IF(TODAY()&lt;C7,"🟡 Por iniciar",IF(TODAY()&lt;=D7,"🟢 En proceso","🔴 Atrasado")))</f>
        <v>✅ Completado</v>
      </c>
    </row>
    <row r="8" spans="1:10" x14ac:dyDescent="0.35">
      <c r="A8" s="15" t="s">
        <v>165</v>
      </c>
      <c r="B8" s="15" t="s">
        <v>15</v>
      </c>
      <c r="C8" s="9">
        <v>46071</v>
      </c>
      <c r="D8" s="9">
        <v>46080</v>
      </c>
      <c r="E8" s="10">
        <f>NETWORKDAYS(C8,D8)</f>
        <v>8</v>
      </c>
      <c r="F8" s="6" t="s">
        <v>11</v>
      </c>
      <c r="G8" s="4"/>
      <c r="H8" s="4"/>
      <c r="I8" s="7" t="str">
        <f ca="1">IF(F8="✅","✅ Completado",IF(TODAY()&lt;C8,"🟡 Por iniciar",IF(TODAY()&lt;=D8,"🟢 En proceso","🔴 Atrasado")))</f>
        <v>✅ Completado</v>
      </c>
    </row>
    <row r="9" spans="1:10" x14ac:dyDescent="0.35">
      <c r="A9" s="15" t="s">
        <v>165</v>
      </c>
      <c r="B9" s="15" t="s">
        <v>16</v>
      </c>
      <c r="C9" s="9">
        <v>46071</v>
      </c>
      <c r="D9" s="9">
        <v>46080</v>
      </c>
      <c r="E9" s="10">
        <f>NETWORKDAYS(C9,D9)</f>
        <v>8</v>
      </c>
      <c r="F9" s="6" t="s">
        <v>11</v>
      </c>
      <c r="G9" s="4"/>
      <c r="H9" s="4"/>
      <c r="I9" s="7" t="str">
        <f ca="1">IF(F9="✅","✅ Completado",IF(TODAY()&lt;C9,"🟡 Por iniciar",IF(TODAY()&lt;=D9,"🟢 En proceso","🔴 Atrasado")))</f>
        <v>✅ Completado</v>
      </c>
    </row>
    <row r="10" spans="1:10" x14ac:dyDescent="0.35">
      <c r="A10" s="15" t="s">
        <v>165</v>
      </c>
      <c r="B10" s="15" t="s">
        <v>169</v>
      </c>
      <c r="C10" s="9">
        <v>46080</v>
      </c>
      <c r="D10" s="9">
        <v>46080</v>
      </c>
      <c r="E10" s="10">
        <f t="shared" ref="E10" si="3">NETWORKDAYS(C10,D10)</f>
        <v>1</v>
      </c>
      <c r="F10" s="6" t="s">
        <v>11</v>
      </c>
      <c r="G10" s="4"/>
      <c r="H10" s="4"/>
      <c r="I10" s="7" t="str">
        <f t="shared" ca="1" si="2"/>
        <v>✅ Completado</v>
      </c>
    </row>
    <row r="11" spans="1:10" x14ac:dyDescent="0.35">
      <c r="A11" s="15" t="s">
        <v>165</v>
      </c>
      <c r="B11" s="15" t="s">
        <v>46</v>
      </c>
      <c r="C11" s="9">
        <v>46096</v>
      </c>
      <c r="D11" s="9">
        <v>46096</v>
      </c>
      <c r="E11" s="10">
        <f>NETWORKDAYS(C11,D11)</f>
        <v>0</v>
      </c>
      <c r="F11" s="6" t="s">
        <v>11</v>
      </c>
      <c r="G11" s="4"/>
      <c r="H11" s="4"/>
      <c r="I11" s="7" t="str">
        <f ca="1">IF(F11="✅","✅ Completado",IF(TODAY()&lt;C11,"🟡 Por iniciar",IF(TODAY()&lt;=D11,"🟢 En proceso","🔴 Atrasado")))</f>
        <v>✅ Completado</v>
      </c>
    </row>
    <row r="12" spans="1:10" x14ac:dyDescent="0.35">
      <c r="A12" s="15" t="s">
        <v>165</v>
      </c>
      <c r="B12" s="8" t="s">
        <v>18</v>
      </c>
      <c r="C12" s="9">
        <v>46101</v>
      </c>
      <c r="D12" s="9">
        <v>46101</v>
      </c>
      <c r="E12" s="10">
        <f>NETWORKDAYS(C12,D12)</f>
        <v>1</v>
      </c>
      <c r="F12" s="6" t="s">
        <v>11</v>
      </c>
      <c r="G12" s="4"/>
      <c r="H12" s="4"/>
      <c r="I12" s="7" t="str">
        <f ca="1">IF(F12="✅","✅ Completado",IF(TODAY()&lt;C12,"🟡 Por iniciar",IF(TODAY()&lt;=D12,"🟢 En proceso","🔴 Atrasado")))</f>
        <v>✅ Completado</v>
      </c>
      <c r="J12" t="s">
        <v>47</v>
      </c>
    </row>
    <row r="13" spans="1:10" x14ac:dyDescent="0.35">
      <c r="A13" s="15" t="s">
        <v>165</v>
      </c>
      <c r="B13" s="15" t="s">
        <v>170</v>
      </c>
      <c r="C13" s="9">
        <v>46106</v>
      </c>
      <c r="D13" s="9">
        <v>46106</v>
      </c>
      <c r="E13" s="10">
        <f t="shared" ref="E13" si="4">NETWORKDAYS(C13,D13)</f>
        <v>1</v>
      </c>
      <c r="F13" s="6" t="s">
        <v>11</v>
      </c>
      <c r="G13" s="4"/>
      <c r="H13" s="4"/>
      <c r="I13" s="7" t="str">
        <f t="shared" ref="I13" ca="1" si="5">IF(F13="✅","✅ Completado",IF(TODAY()&lt;C13,"🟡 Por iniciar",IF(TODAY()&lt;=D13,"🟢 En proceso","🔴 Atrasado")))</f>
        <v>✅ Completado</v>
      </c>
    </row>
    <row r="14" spans="1:10" x14ac:dyDescent="0.35">
      <c r="A14" s="15" t="s">
        <v>165</v>
      </c>
      <c r="B14" s="15" t="s">
        <v>171</v>
      </c>
      <c r="C14" s="9">
        <v>46122</v>
      </c>
      <c r="D14" s="9">
        <v>46122</v>
      </c>
      <c r="E14" s="10">
        <f t="shared" ref="E14:E18" si="6">NETWORKDAYS(C14,D14)</f>
        <v>1</v>
      </c>
      <c r="F14" s="6" t="s">
        <v>11</v>
      </c>
      <c r="G14" s="4"/>
      <c r="H14" s="4"/>
      <c r="I14" s="7" t="str">
        <f t="shared" ref="I14:I18" ca="1" si="7">IF(F14="✅","✅ Completado",IF(TODAY()&lt;C14,"🟡 Por iniciar",IF(TODAY()&lt;=D14,"🟢 En proceso","🔴 Atrasado")))</f>
        <v>✅ Completado</v>
      </c>
    </row>
    <row r="15" spans="1:10" x14ac:dyDescent="0.35">
      <c r="A15" s="15" t="s">
        <v>165</v>
      </c>
      <c r="B15" s="15" t="s">
        <v>172</v>
      </c>
      <c r="C15" s="9">
        <v>46123</v>
      </c>
      <c r="D15" s="9">
        <v>46123</v>
      </c>
      <c r="E15" s="10">
        <f t="shared" si="6"/>
        <v>0</v>
      </c>
      <c r="F15" s="6" t="s">
        <v>11</v>
      </c>
      <c r="G15" s="4"/>
      <c r="H15" s="4"/>
      <c r="I15" s="7" t="str">
        <f t="shared" ca="1" si="7"/>
        <v>✅ Completado</v>
      </c>
    </row>
    <row r="16" spans="1:10" x14ac:dyDescent="0.35">
      <c r="A16" s="15" t="s">
        <v>165</v>
      </c>
      <c r="B16" s="15" t="s">
        <v>173</v>
      </c>
      <c r="C16" s="9">
        <v>46146</v>
      </c>
      <c r="D16" s="9">
        <v>46150</v>
      </c>
      <c r="E16" s="10">
        <f t="shared" si="6"/>
        <v>5</v>
      </c>
      <c r="F16" s="6" t="s">
        <v>13</v>
      </c>
      <c r="G16" s="4"/>
      <c r="H16" s="4"/>
      <c r="I16" s="7" t="str">
        <f t="shared" ca="1" si="7"/>
        <v>🟡 Por iniciar</v>
      </c>
    </row>
    <row r="17" spans="1:9" x14ac:dyDescent="0.35">
      <c r="A17" s="15" t="s">
        <v>165</v>
      </c>
      <c r="B17" s="15" t="s">
        <v>175</v>
      </c>
      <c r="C17" s="9">
        <v>46146</v>
      </c>
      <c r="D17" s="9">
        <v>46150</v>
      </c>
      <c r="E17" s="10">
        <f>NETWORKDAYS(C17,D17)</f>
        <v>5</v>
      </c>
      <c r="F17" s="6" t="s">
        <v>13</v>
      </c>
      <c r="G17" s="4"/>
      <c r="H17" s="4"/>
      <c r="I17" s="7" t="str">
        <f ca="1">IF(F17="✅","✅ Completado",IF(TODAY()&lt;C17,"🟡 Por iniciar",IF(TODAY()&lt;=D17,"🟢 En proceso","🔴 Atrasado")))</f>
        <v>🟡 Por iniciar</v>
      </c>
    </row>
    <row r="18" spans="1:9" x14ac:dyDescent="0.35">
      <c r="A18" s="15" t="s">
        <v>165</v>
      </c>
      <c r="B18" s="15" t="s">
        <v>174</v>
      </c>
      <c r="C18" s="9">
        <v>46153</v>
      </c>
      <c r="D18" s="9">
        <v>46157</v>
      </c>
      <c r="E18" s="10">
        <f t="shared" si="6"/>
        <v>5</v>
      </c>
      <c r="F18" s="6" t="s">
        <v>13</v>
      </c>
      <c r="G18" s="4"/>
      <c r="H18" s="4"/>
      <c r="I18" s="7" t="str">
        <f t="shared" ca="1" si="7"/>
        <v>🟡 Por iniciar</v>
      </c>
    </row>
    <row r="19" spans="1:9" x14ac:dyDescent="0.35">
      <c r="A19" s="15" t="s">
        <v>165</v>
      </c>
      <c r="B19" s="15" t="s">
        <v>176</v>
      </c>
      <c r="C19" s="9">
        <v>46159</v>
      </c>
      <c r="D19" s="9">
        <v>46159</v>
      </c>
      <c r="E19" s="10">
        <f t="shared" ref="E19" si="8">NETWORKDAYS(C19,D19)</f>
        <v>0</v>
      </c>
      <c r="F19" s="6" t="s">
        <v>13</v>
      </c>
      <c r="G19" s="4"/>
      <c r="H19" s="4"/>
      <c r="I19" s="7" t="str">
        <f t="shared" ref="I19" ca="1" si="9">IF(F19="✅","✅ Completado",IF(TODAY()&lt;C19,"🟡 Por iniciar",IF(TODAY()&lt;=D19,"🟢 En proceso","🔴 Atrasado")))</f>
        <v>🟡 Por iniciar</v>
      </c>
    </row>
    <row r="20" spans="1:9" x14ac:dyDescent="0.35">
      <c r="A20" s="15" t="s">
        <v>165</v>
      </c>
      <c r="B20" s="15" t="s">
        <v>177</v>
      </c>
      <c r="C20" s="9">
        <v>46160</v>
      </c>
      <c r="D20" s="9">
        <v>46164</v>
      </c>
      <c r="E20" s="10">
        <f t="shared" ref="E20" si="10">NETWORKDAYS(C20,D20)</f>
        <v>5</v>
      </c>
      <c r="F20" s="6" t="s">
        <v>13</v>
      </c>
      <c r="G20" s="4"/>
      <c r="H20" s="4"/>
      <c r="I20" s="7" t="str">
        <f t="shared" ref="I20" ca="1" si="11">IF(F20="✅","✅ Completado",IF(TODAY()&lt;C20,"🟡 Por iniciar",IF(TODAY()&lt;=D20,"🟢 En proceso","🔴 Atrasado")))</f>
        <v>🟡 Por iniciar</v>
      </c>
    </row>
    <row r="21" spans="1:9" x14ac:dyDescent="0.35">
      <c r="A21" s="15" t="s">
        <v>165</v>
      </c>
      <c r="B21" s="15" t="s">
        <v>154</v>
      </c>
      <c r="C21" s="9">
        <v>46164</v>
      </c>
      <c r="D21" s="9">
        <v>46164</v>
      </c>
      <c r="E21" s="10">
        <f t="shared" ref="E21" si="12">NETWORKDAYS(C21,D21)</f>
        <v>1</v>
      </c>
      <c r="F21" s="6" t="s">
        <v>13</v>
      </c>
      <c r="G21" s="4"/>
      <c r="H21" s="4"/>
      <c r="I21" s="7" t="str">
        <f t="shared" ref="I21" ca="1" si="13">IF(F21="✅","✅ Completado",IF(TODAY()&lt;C21,"🟡 Por iniciar",IF(TODAY()&lt;=D21,"🟢 En proceso","🔴 Atrasado")))</f>
        <v>🟡 Por iniciar</v>
      </c>
    </row>
    <row r="22" spans="1:9" x14ac:dyDescent="0.35">
      <c r="A22" s="15" t="s">
        <v>165</v>
      </c>
      <c r="B22" s="15" t="s">
        <v>38</v>
      </c>
      <c r="C22" s="9">
        <v>46165</v>
      </c>
      <c r="D22" s="9">
        <v>46165</v>
      </c>
      <c r="E22" s="10">
        <f>NETWORKDAYS(C22,D22)</f>
        <v>0</v>
      </c>
      <c r="F22" s="6" t="s">
        <v>13</v>
      </c>
      <c r="G22" s="4"/>
      <c r="H22" s="4"/>
      <c r="I22" s="7" t="str">
        <f t="shared" ca="1" si="1"/>
        <v>🟡 Por iniciar</v>
      </c>
    </row>
    <row r="23" spans="1:9" x14ac:dyDescent="0.35">
      <c r="A23" s="15" t="s">
        <v>165</v>
      </c>
      <c r="B23" s="8" t="s">
        <v>55</v>
      </c>
      <c r="C23" s="9">
        <v>46166</v>
      </c>
      <c r="D23" s="9">
        <v>46166</v>
      </c>
      <c r="E23" s="10">
        <f t="shared" si="0"/>
        <v>0</v>
      </c>
      <c r="F23" s="6" t="s">
        <v>13</v>
      </c>
      <c r="G23" s="4"/>
      <c r="H23" s="4"/>
      <c r="I23" s="7" t="str">
        <f t="shared" ca="1" si="1"/>
        <v>🟡 Por iniciar</v>
      </c>
    </row>
    <row r="24" spans="1:9" x14ac:dyDescent="0.35">
      <c r="A24" s="15" t="s">
        <v>165</v>
      </c>
      <c r="B24" s="8" t="s">
        <v>43</v>
      </c>
      <c r="C24" s="9">
        <v>46167</v>
      </c>
      <c r="D24" s="9">
        <v>46167</v>
      </c>
      <c r="E24" s="10">
        <f t="shared" si="0"/>
        <v>1</v>
      </c>
      <c r="F24" s="6" t="s">
        <v>13</v>
      </c>
      <c r="G24" s="4"/>
      <c r="H24" s="4"/>
      <c r="I24" s="7" t="str">
        <f t="shared" ca="1" si="1"/>
        <v>🟡 Por iniciar</v>
      </c>
    </row>
    <row r="25" spans="1:9" x14ac:dyDescent="0.35">
      <c r="A25" s="15" t="s">
        <v>165</v>
      </c>
      <c r="B25" s="8" t="s">
        <v>44</v>
      </c>
      <c r="C25" s="9">
        <v>46168</v>
      </c>
      <c r="D25" s="9">
        <v>46168</v>
      </c>
      <c r="E25" s="10">
        <f t="shared" si="0"/>
        <v>1</v>
      </c>
      <c r="F25" s="6" t="s">
        <v>13</v>
      </c>
      <c r="G25" s="4"/>
      <c r="H25" s="4"/>
      <c r="I25" s="7" t="str">
        <f t="shared" ca="1" si="1"/>
        <v>🟡 Por iniciar</v>
      </c>
    </row>
    <row r="28" spans="1:9" x14ac:dyDescent="0.35">
      <c r="A28" s="18" t="s">
        <v>56</v>
      </c>
      <c r="B28" s="17" t="s">
        <v>178</v>
      </c>
    </row>
    <row r="29" spans="1:9" x14ac:dyDescent="0.35">
      <c r="B29" s="17"/>
    </row>
    <row r="32" spans="1:9" x14ac:dyDescent="0.35">
      <c r="B32" t="s">
        <v>179</v>
      </c>
    </row>
  </sheetData>
  <phoneticPr fontId="6" type="noConversion"/>
  <conditionalFormatting sqref="C1 F7:F1048576">
    <cfRule type="containsText" dxfId="80" priority="19" operator="containsText" text="✅">
      <formula>NOT(ISERROR(SEARCH("✅",C1)))</formula>
    </cfRule>
  </conditionalFormatting>
  <conditionalFormatting sqref="C3:H25">
    <cfRule type="expression" dxfId="79" priority="20">
      <formula>$I3="🔴 Atrasado"</formula>
    </cfRule>
  </conditionalFormatting>
  <conditionalFormatting sqref="F1:F6 F8:F9 F11:F12">
    <cfRule type="containsText" dxfId="78" priority="21" operator="containsText" text="✅">
      <formula>NOT(ISERROR(SEARCH("✅",F1)))</formula>
    </cfRule>
  </conditionalFormatting>
  <conditionalFormatting sqref="I1:I1048576">
    <cfRule type="containsText" dxfId="77" priority="9" operator="containsText" text="Completado">
      <formula>NOT(ISERROR(SEARCH("Completado",I1)))</formula>
    </cfRule>
    <cfRule type="containsText" dxfId="76" priority="10" operator="containsText" text="Atrasado">
      <formula>NOT(ISERROR(SEARCH("Atrasado",I1)))</formula>
    </cfRule>
    <cfRule type="containsText" dxfId="75" priority="11" operator="containsText" text="En proceso">
      <formula>NOT(ISERROR(SEARCH("En proceso",I1)))</formula>
    </cfRule>
    <cfRule type="containsText" dxfId="74" priority="12" operator="containsText" text="Por iniciar">
      <formula>NOT(ISERROR(SEARCH("Por iniciar",I1)))</formula>
    </cfRule>
  </conditionalFormatting>
  <conditionalFormatting sqref="I8:I9 I11:I12">
    <cfRule type="containsText" dxfId="73" priority="22" operator="containsText" text="Completado">
      <formula>NOT(ISERROR(SEARCH("Completado",I8)))</formula>
    </cfRule>
    <cfRule type="containsText" dxfId="72" priority="23" operator="containsText" text="Atrasado">
      <formula>NOT(ISERROR(SEARCH("Atrasado",I8)))</formula>
    </cfRule>
    <cfRule type="containsText" dxfId="71" priority="24" operator="containsText" text="En proceso">
      <formula>NOT(ISERROR(SEARCH("En proceso",I8)))</formula>
    </cfRule>
    <cfRule type="containsText" dxfId="70" priority="25" operator="containsText" text="Por iniciar">
      <formula>NOT(ISERROR(SEARCH("Por iniciar",I8)))</formula>
    </cfRule>
  </conditionalFormatting>
  <dataValidations count="1">
    <dataValidation type="list" showInputMessage="1" showErrorMessage="1" sqref="F19:F25 F3:F18" xr:uid="{FE6676B1-34DA-4BAD-8B94-AB46B2259325}">
      <formula1>"✅,No,"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A631-58BE-4CB7-ACAA-24EC0EB30C15}">
  <dimension ref="A1:I20"/>
  <sheetViews>
    <sheetView workbookViewId="0">
      <selection activeCell="D22" sqref="D22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28.81640625" customWidth="1"/>
    <col min="9" max="9" width="16.81640625" bestFit="1" customWidth="1"/>
    <col min="11" max="11" width="11.26953125" bestFit="1" customWidth="1"/>
  </cols>
  <sheetData>
    <row r="1" spans="1:9" ht="23.5" x14ac:dyDescent="0.55000000000000004">
      <c r="B1" s="16" t="s">
        <v>182</v>
      </c>
      <c r="C1"/>
      <c r="D1"/>
    </row>
    <row r="2" spans="1:9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9" x14ac:dyDescent="0.35">
      <c r="A3" s="15" t="s">
        <v>182</v>
      </c>
      <c r="B3" s="15" t="s">
        <v>38</v>
      </c>
      <c r="C3" s="9">
        <v>46072</v>
      </c>
      <c r="D3" s="9">
        <v>46072</v>
      </c>
      <c r="E3" s="10">
        <f>NETWORKDAYS(C3,D3)</f>
        <v>1</v>
      </c>
      <c r="F3" s="6" t="s">
        <v>11</v>
      </c>
      <c r="G3" s="4"/>
      <c r="H3" s="4"/>
      <c r="I3" s="7" t="str">
        <f t="shared" ref="I3:I10" ca="1" si="0">IF(F3="✅","✅ Completado",IF(TODAY()&lt;C3,"🟡 Por iniciar",IF(TODAY()&lt;=D3,"🟢 En proceso","🔴 Atrasado")))</f>
        <v>✅ Completado</v>
      </c>
    </row>
    <row r="4" spans="1:9" x14ac:dyDescent="0.35">
      <c r="A4" s="15" t="s">
        <v>182</v>
      </c>
      <c r="B4" s="8" t="s">
        <v>39</v>
      </c>
      <c r="C4" s="9">
        <v>46072</v>
      </c>
      <c r="D4" s="9">
        <v>46072</v>
      </c>
      <c r="E4" s="10">
        <f t="shared" ref="E4:E10" si="1">NETWORKDAYS(C4,D4)</f>
        <v>1</v>
      </c>
      <c r="F4" s="6" t="s">
        <v>11</v>
      </c>
      <c r="G4" s="4"/>
      <c r="H4" s="4"/>
      <c r="I4" s="7" t="str">
        <f t="shared" ca="1" si="0"/>
        <v>✅ Completado</v>
      </c>
    </row>
    <row r="5" spans="1:9" x14ac:dyDescent="0.35">
      <c r="A5" s="15" t="s">
        <v>182</v>
      </c>
      <c r="B5" s="8" t="s">
        <v>180</v>
      </c>
      <c r="C5" s="9">
        <v>46073</v>
      </c>
      <c r="D5" s="9">
        <v>46073</v>
      </c>
      <c r="E5" s="10">
        <f t="shared" si="1"/>
        <v>1</v>
      </c>
      <c r="F5" s="6" t="s">
        <v>11</v>
      </c>
      <c r="G5" s="4"/>
      <c r="H5" s="4"/>
      <c r="I5" s="7" t="str">
        <f t="shared" ca="1" si="0"/>
        <v>✅ Completado</v>
      </c>
    </row>
    <row r="6" spans="1:9" x14ac:dyDescent="0.35">
      <c r="A6" s="15" t="s">
        <v>182</v>
      </c>
      <c r="B6" s="8" t="s">
        <v>69</v>
      </c>
      <c r="C6" s="9">
        <v>46074</v>
      </c>
      <c r="D6" s="9">
        <v>46074</v>
      </c>
      <c r="E6" s="10">
        <f t="shared" si="1"/>
        <v>0</v>
      </c>
      <c r="F6" s="6" t="s">
        <v>11</v>
      </c>
      <c r="G6" s="4"/>
      <c r="H6" s="4"/>
      <c r="I6" s="7" t="str">
        <f t="shared" ca="1" si="0"/>
        <v>✅ Completado</v>
      </c>
    </row>
    <row r="7" spans="1:9" x14ac:dyDescent="0.35">
      <c r="A7" s="15" t="s">
        <v>182</v>
      </c>
      <c r="B7" s="8" t="s">
        <v>183</v>
      </c>
      <c r="C7" s="9">
        <v>46074</v>
      </c>
      <c r="D7" s="9">
        <v>46074</v>
      </c>
      <c r="E7" s="10">
        <f t="shared" ref="E7" si="2">NETWORKDAYS(C7,D7)</f>
        <v>0</v>
      </c>
      <c r="F7" s="6" t="s">
        <v>11</v>
      </c>
      <c r="G7" s="4"/>
      <c r="H7" s="4"/>
      <c r="I7" s="7" t="str">
        <f t="shared" ref="I7" ca="1" si="3">IF(F7="✅","✅ Completado",IF(TODAY()&lt;C7,"🟡 Por iniciar",IF(TODAY()&lt;=D7,"🟢 En proceso","🔴 Atrasado")))</f>
        <v>✅ Completado</v>
      </c>
    </row>
    <row r="8" spans="1:9" x14ac:dyDescent="0.35">
      <c r="A8" s="15" t="s">
        <v>182</v>
      </c>
      <c r="B8" s="8" t="s">
        <v>181</v>
      </c>
      <c r="C8" s="9">
        <v>46075</v>
      </c>
      <c r="D8" s="9">
        <v>46075</v>
      </c>
      <c r="E8" s="10">
        <f t="shared" si="1"/>
        <v>0</v>
      </c>
      <c r="F8" s="6" t="s">
        <v>11</v>
      </c>
      <c r="G8" s="4"/>
      <c r="H8" s="4"/>
      <c r="I8" s="7" t="str">
        <f t="shared" ca="1" si="0"/>
        <v>✅ Completado</v>
      </c>
    </row>
    <row r="9" spans="1:9" x14ac:dyDescent="0.35">
      <c r="A9" s="15" t="s">
        <v>182</v>
      </c>
      <c r="B9" s="8" t="s">
        <v>43</v>
      </c>
      <c r="C9" s="9">
        <v>46076</v>
      </c>
      <c r="D9" s="9">
        <v>46076</v>
      </c>
      <c r="E9" s="10">
        <f t="shared" si="1"/>
        <v>1</v>
      </c>
      <c r="F9" s="6" t="s">
        <v>11</v>
      </c>
      <c r="G9" s="4"/>
      <c r="H9" s="4"/>
      <c r="I9" s="7" t="str">
        <f t="shared" ca="1" si="0"/>
        <v>✅ Completado</v>
      </c>
    </row>
    <row r="10" spans="1:9" x14ac:dyDescent="0.35">
      <c r="A10" s="15" t="s">
        <v>182</v>
      </c>
      <c r="B10" s="8" t="s">
        <v>44</v>
      </c>
      <c r="C10" s="9">
        <v>46077</v>
      </c>
      <c r="D10" s="9">
        <v>46077</v>
      </c>
      <c r="E10" s="10">
        <f t="shared" si="1"/>
        <v>1</v>
      </c>
      <c r="F10" s="6" t="s">
        <v>13</v>
      </c>
      <c r="G10" s="4"/>
      <c r="H10" s="4"/>
      <c r="I10" s="7" t="str">
        <f t="shared" ca="1" si="0"/>
        <v>🔴 Atrasado</v>
      </c>
    </row>
    <row r="12" spans="1:9" x14ac:dyDescent="0.35">
      <c r="D12"/>
    </row>
    <row r="13" spans="1:9" x14ac:dyDescent="0.35">
      <c r="A13" s="18" t="s">
        <v>56</v>
      </c>
      <c r="B13" s="17" t="s">
        <v>184</v>
      </c>
      <c r="D13"/>
    </row>
    <row r="14" spans="1:9" x14ac:dyDescent="0.35">
      <c r="B14" s="17"/>
      <c r="D14"/>
    </row>
    <row r="15" spans="1:9" x14ac:dyDescent="0.35">
      <c r="B15" s="17"/>
      <c r="D15"/>
    </row>
    <row r="16" spans="1:9" x14ac:dyDescent="0.35">
      <c r="B16" t="s">
        <v>65</v>
      </c>
      <c r="D16"/>
    </row>
    <row r="17" spans="4:4" x14ac:dyDescent="0.35">
      <c r="D17"/>
    </row>
    <row r="18" spans="4:4" x14ac:dyDescent="0.35">
      <c r="D18"/>
    </row>
    <row r="19" spans="4:4" x14ac:dyDescent="0.35">
      <c r="D19"/>
    </row>
    <row r="20" spans="4:4" x14ac:dyDescent="0.35">
      <c r="D20"/>
    </row>
  </sheetData>
  <phoneticPr fontId="6" type="noConversion"/>
  <conditionalFormatting sqref="C1">
    <cfRule type="containsText" dxfId="69" priority="1" operator="containsText" text="✅">
      <formula>NOT(ISERROR(SEARCH("✅",C1)))</formula>
    </cfRule>
  </conditionalFormatting>
  <conditionalFormatting sqref="C3:H10">
    <cfRule type="expression" dxfId="68" priority="2">
      <formula>$I3="🔴 Atrasado"</formula>
    </cfRule>
  </conditionalFormatting>
  <conditionalFormatting sqref="F1:F1048576">
    <cfRule type="containsText" dxfId="67" priority="3" operator="containsText" text="✅">
      <formula>NOT(ISERROR(SEARCH("✅",F1)))</formula>
    </cfRule>
  </conditionalFormatting>
  <conditionalFormatting sqref="I1:I1048576">
    <cfRule type="containsText" dxfId="66" priority="4" operator="containsText" text="Completado">
      <formula>NOT(ISERROR(SEARCH("Completado",I1)))</formula>
    </cfRule>
    <cfRule type="containsText" dxfId="65" priority="5" operator="containsText" text="Atrasado">
      <formula>NOT(ISERROR(SEARCH("Atrasado",I1)))</formula>
    </cfRule>
    <cfRule type="containsText" dxfId="64" priority="6" operator="containsText" text="En proceso">
      <formula>NOT(ISERROR(SEARCH("En proceso",I1)))</formula>
    </cfRule>
    <cfRule type="containsText" dxfId="63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0" xr:uid="{669C9003-5581-4672-8E2E-D0266B95D878}">
      <formula1>"✅,No,"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B28A-A174-40A8-90FB-22CF073CE641}">
  <dimension ref="A1:J24"/>
  <sheetViews>
    <sheetView workbookViewId="0">
      <selection activeCell="D24" sqref="D24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37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185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185</v>
      </c>
      <c r="B3" s="15" t="s">
        <v>12</v>
      </c>
      <c r="C3" s="9">
        <v>46083</v>
      </c>
      <c r="D3" s="9">
        <v>46086</v>
      </c>
      <c r="E3" s="10">
        <f t="shared" ref="E3:E16" si="0">NETWORKDAYS(C3,D3)</f>
        <v>4</v>
      </c>
      <c r="F3" s="6" t="s">
        <v>11</v>
      </c>
      <c r="G3" s="4"/>
      <c r="H3" s="4"/>
      <c r="I3" s="7" t="str">
        <f t="shared" ref="I3:I16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186</v>
      </c>
      <c r="B4" s="15" t="s">
        <v>14</v>
      </c>
      <c r="C4" s="9">
        <v>46083</v>
      </c>
      <c r="D4" s="9">
        <v>46086</v>
      </c>
      <c r="E4" s="10">
        <f t="shared" si="0"/>
        <v>4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187</v>
      </c>
      <c r="B5" s="15" t="s">
        <v>15</v>
      </c>
      <c r="C5" s="9">
        <v>46083</v>
      </c>
      <c r="D5" s="9">
        <v>46086</v>
      </c>
      <c r="E5" s="10">
        <f t="shared" si="0"/>
        <v>4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188</v>
      </c>
      <c r="B6" s="15" t="s">
        <v>16</v>
      </c>
      <c r="C6" s="9">
        <v>46084</v>
      </c>
      <c r="D6" s="11">
        <v>46101</v>
      </c>
      <c r="E6" s="10">
        <f t="shared" si="0"/>
        <v>14</v>
      </c>
      <c r="F6" s="6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189</v>
      </c>
      <c r="B7" s="15" t="s">
        <v>46</v>
      </c>
      <c r="C7" s="9">
        <v>46080</v>
      </c>
      <c r="D7" s="11">
        <v>46080</v>
      </c>
      <c r="E7" s="10">
        <f t="shared" si="0"/>
        <v>1</v>
      </c>
      <c r="F7" s="6" t="s">
        <v>11</v>
      </c>
      <c r="G7" s="4"/>
      <c r="H7" s="4"/>
      <c r="I7" s="7" t="str">
        <f t="shared" ca="1" si="1"/>
        <v>✅ Completado</v>
      </c>
    </row>
    <row r="8" spans="1:10" x14ac:dyDescent="0.35">
      <c r="A8" s="15" t="s">
        <v>190</v>
      </c>
      <c r="B8" s="8" t="s">
        <v>18</v>
      </c>
      <c r="C8" s="9">
        <v>46080</v>
      </c>
      <c r="D8" s="11">
        <v>46080</v>
      </c>
      <c r="E8" s="10">
        <f t="shared" si="0"/>
        <v>1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0" x14ac:dyDescent="0.35">
      <c r="A9" s="15" t="s">
        <v>191</v>
      </c>
      <c r="B9" s="15" t="s">
        <v>74</v>
      </c>
      <c r="C9" s="9">
        <v>46080</v>
      </c>
      <c r="D9" s="11">
        <v>46080</v>
      </c>
      <c r="E9" s="10">
        <f>NETWORKDAYS(C9,D9)</f>
        <v>1</v>
      </c>
      <c r="F9" s="6" t="s">
        <v>11</v>
      </c>
      <c r="G9" s="4"/>
      <c r="H9" s="4"/>
      <c r="I9" s="7" t="str">
        <f ca="1">IF(F9="✅","✅ Completado",IF(TODAY()&lt;C9,"🟡 Por iniciar",IF(TODAY()&lt;=D9,"🟢 En proceso","🔴 Atrasado")))</f>
        <v>✅ Completado</v>
      </c>
    </row>
    <row r="10" spans="1:10" x14ac:dyDescent="0.35">
      <c r="A10" s="15" t="s">
        <v>192</v>
      </c>
      <c r="B10" s="15" t="s">
        <v>117</v>
      </c>
      <c r="C10" s="9">
        <v>46080</v>
      </c>
      <c r="D10" s="11">
        <v>46080</v>
      </c>
      <c r="E10" s="10">
        <f>NETWORKDAYS(C10,D10)</f>
        <v>1</v>
      </c>
      <c r="F10" s="6" t="s">
        <v>11</v>
      </c>
      <c r="G10" s="4"/>
      <c r="H10" s="21"/>
      <c r="I10" s="7" t="str">
        <f ca="1">IF(F10="✅","✅ Completado",IF(TODAY()&lt;C10,"🟡 Por iniciar",IF(TODAY()&lt;=D10,"🟢 En proceso","🔴 Atrasado")))</f>
        <v>✅ Completado</v>
      </c>
    </row>
    <row r="11" spans="1:10" x14ac:dyDescent="0.35">
      <c r="A11" s="15" t="s">
        <v>193</v>
      </c>
      <c r="B11" s="15" t="s">
        <v>135</v>
      </c>
      <c r="C11" s="9">
        <v>46167</v>
      </c>
      <c r="D11" s="9">
        <v>46171</v>
      </c>
      <c r="E11" s="10">
        <f>NETWORKDAYS(C11,D11)</f>
        <v>5</v>
      </c>
      <c r="F11" s="6" t="s">
        <v>13</v>
      </c>
      <c r="G11" s="4"/>
      <c r="H11" s="4" t="s">
        <v>136</v>
      </c>
      <c r="I11" s="7" t="str">
        <f ca="1">IF(F11="✅","✅ Completado",IF(TODAY()&lt;C11,"🟡 Por iniciar",IF(TODAY()&lt;=D11,"🟢 En proceso","🔴 Atrasado")))</f>
        <v>🟡 Por iniciar</v>
      </c>
    </row>
    <row r="12" spans="1:10" x14ac:dyDescent="0.35">
      <c r="A12" s="15" t="s">
        <v>194</v>
      </c>
      <c r="B12" s="15" t="s">
        <v>120</v>
      </c>
      <c r="C12" s="9">
        <v>46171</v>
      </c>
      <c r="D12" s="9">
        <v>46171</v>
      </c>
      <c r="E12" s="10">
        <f>NETWORKDAYS(C12,D12)</f>
        <v>1</v>
      </c>
      <c r="F12" s="6" t="s">
        <v>13</v>
      </c>
      <c r="G12" s="4"/>
      <c r="H12" s="4"/>
      <c r="I12" s="7" t="str">
        <f ca="1">IF(F12="✅","✅ Completado",IF(TODAY()&lt;C12,"🟡 Por iniciar",IF(TODAY()&lt;=D12,"🟢 En proceso","🔴 Atrasado")))</f>
        <v>🟡 Por iniciar</v>
      </c>
    </row>
    <row r="13" spans="1:10" x14ac:dyDescent="0.35">
      <c r="A13" s="15" t="s">
        <v>195</v>
      </c>
      <c r="B13" s="15" t="s">
        <v>38</v>
      </c>
      <c r="C13" s="9">
        <v>46172</v>
      </c>
      <c r="D13" s="9">
        <v>46172</v>
      </c>
      <c r="E13" s="10">
        <f>NETWORKDAYS(C13,D13)</f>
        <v>0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196</v>
      </c>
      <c r="B14" s="8" t="s">
        <v>55</v>
      </c>
      <c r="C14" s="9">
        <v>46173</v>
      </c>
      <c r="D14" s="9">
        <v>46173</v>
      </c>
      <c r="E14" s="4">
        <f t="shared" si="0"/>
        <v>0</v>
      </c>
      <c r="F14" s="6" t="s">
        <v>13</v>
      </c>
      <c r="G14" s="4"/>
      <c r="H14" s="4"/>
      <c r="I14" s="7" t="str">
        <f t="shared" ca="1" si="1"/>
        <v>🟡 Por iniciar</v>
      </c>
    </row>
    <row r="15" spans="1:10" x14ac:dyDescent="0.35">
      <c r="A15" s="15" t="s">
        <v>197</v>
      </c>
      <c r="B15" s="8" t="s">
        <v>43</v>
      </c>
      <c r="C15" s="9">
        <v>46174</v>
      </c>
      <c r="D15" s="9">
        <v>46174</v>
      </c>
      <c r="E15" s="4">
        <f t="shared" si="0"/>
        <v>1</v>
      </c>
      <c r="F15" s="6" t="s">
        <v>13</v>
      </c>
      <c r="G15" s="4"/>
      <c r="H15" s="4"/>
      <c r="I15" s="7" t="str">
        <f t="shared" ca="1" si="1"/>
        <v>🟡 Por iniciar</v>
      </c>
    </row>
    <row r="16" spans="1:10" x14ac:dyDescent="0.35">
      <c r="A16" s="15" t="s">
        <v>198</v>
      </c>
      <c r="B16" s="8" t="s">
        <v>44</v>
      </c>
      <c r="C16" s="9">
        <v>46175</v>
      </c>
      <c r="D16" s="9">
        <v>46175</v>
      </c>
      <c r="E16" s="4">
        <f t="shared" si="0"/>
        <v>1</v>
      </c>
      <c r="F16" s="6" t="s">
        <v>13</v>
      </c>
      <c r="G16" s="4"/>
      <c r="H16" s="4"/>
      <c r="I16" s="7" t="str">
        <f t="shared" ca="1" si="1"/>
        <v>🟡 Por iniciar</v>
      </c>
    </row>
    <row r="19" spans="1:2" x14ac:dyDescent="0.35">
      <c r="A19" s="18" t="s">
        <v>56</v>
      </c>
      <c r="B19" s="17" t="s">
        <v>137</v>
      </c>
    </row>
    <row r="22" spans="1:2" x14ac:dyDescent="0.35">
      <c r="B22" t="s">
        <v>199</v>
      </c>
    </row>
    <row r="24" spans="1:2" x14ac:dyDescent="0.35">
      <c r="B24" t="s">
        <v>278</v>
      </c>
    </row>
  </sheetData>
  <phoneticPr fontId="6" type="noConversion"/>
  <conditionalFormatting sqref="C1 F1:F1048576">
    <cfRule type="containsText" dxfId="62" priority="1" operator="containsText" text="✅">
      <formula>NOT(ISERROR(SEARCH("✅",C1)))</formula>
    </cfRule>
  </conditionalFormatting>
  <conditionalFormatting sqref="C3:H16">
    <cfRule type="expression" dxfId="61" priority="2">
      <formula>$I3="🔴 Atrasado"</formula>
    </cfRule>
  </conditionalFormatting>
  <conditionalFormatting sqref="I1:I1048576">
    <cfRule type="containsText" dxfId="60" priority="4" operator="containsText" text="Completado">
      <formula>NOT(ISERROR(SEARCH("Completado",I1)))</formula>
    </cfRule>
    <cfRule type="containsText" dxfId="59" priority="5" operator="containsText" text="Atrasado">
      <formula>NOT(ISERROR(SEARCH("Atrasado",I1)))</formula>
    </cfRule>
    <cfRule type="containsText" dxfId="58" priority="6" operator="containsText" text="En proceso">
      <formula>NOT(ISERROR(SEARCH("En proceso",I1)))</formula>
    </cfRule>
    <cfRule type="containsText" dxfId="57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6" xr:uid="{6426107C-54D2-4E0C-BF69-27D6BCD483DE}">
      <formula1>"✅,No,"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A7A3-15F3-43AE-A7AE-FCBE1985AAB7}">
  <dimension ref="A1:J26"/>
  <sheetViews>
    <sheetView workbookViewId="0">
      <selection activeCell="G22" sqref="G22"/>
    </sheetView>
  </sheetViews>
  <sheetFormatPr baseColWidth="10" defaultColWidth="8.81640625" defaultRowHeight="14.5" x14ac:dyDescent="0.35"/>
  <cols>
    <col min="1" max="1" width="37.54296875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37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200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200</v>
      </c>
      <c r="B3" s="15" t="s">
        <v>12</v>
      </c>
      <c r="C3" s="9">
        <v>46087</v>
      </c>
      <c r="D3" s="9">
        <v>46091</v>
      </c>
      <c r="E3" s="10">
        <f t="shared" ref="E3:E16" si="0">NETWORKDAYS(C3,D3)</f>
        <v>3</v>
      </c>
      <c r="F3" s="6" t="s">
        <v>11</v>
      </c>
      <c r="G3" s="4"/>
      <c r="H3" s="4"/>
      <c r="I3" s="7" t="str">
        <f t="shared" ref="I3:I16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201</v>
      </c>
      <c r="B4" s="15" t="s">
        <v>14</v>
      </c>
      <c r="C4" s="9">
        <v>46087</v>
      </c>
      <c r="D4" s="9">
        <v>46091</v>
      </c>
      <c r="E4" s="10">
        <f t="shared" si="0"/>
        <v>3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202</v>
      </c>
      <c r="B5" s="15" t="s">
        <v>15</v>
      </c>
      <c r="C5" s="9">
        <v>46113</v>
      </c>
      <c r="D5" s="9">
        <v>46127</v>
      </c>
      <c r="E5" s="10">
        <f t="shared" si="0"/>
        <v>11</v>
      </c>
      <c r="F5" s="6" t="s">
        <v>13</v>
      </c>
      <c r="G5" s="4"/>
      <c r="H5" s="4"/>
      <c r="I5" s="7" t="str">
        <f t="shared" ca="1" si="1"/>
        <v>🔴 Atrasado</v>
      </c>
    </row>
    <row r="6" spans="1:10" x14ac:dyDescent="0.35">
      <c r="A6" s="15" t="s">
        <v>203</v>
      </c>
      <c r="B6" s="15" t="s">
        <v>16</v>
      </c>
      <c r="C6" s="9">
        <v>46127</v>
      </c>
      <c r="D6" s="11">
        <v>46132</v>
      </c>
      <c r="E6" s="10">
        <f t="shared" si="0"/>
        <v>4</v>
      </c>
      <c r="F6" s="6" t="s">
        <v>13</v>
      </c>
      <c r="G6" s="4"/>
      <c r="H6" s="4"/>
      <c r="I6" s="7" t="str">
        <f t="shared" ca="1" si="1"/>
        <v>🟢 En proceso</v>
      </c>
    </row>
    <row r="7" spans="1:10" x14ac:dyDescent="0.35">
      <c r="A7" s="15" t="s">
        <v>204</v>
      </c>
      <c r="B7" s="15" t="s">
        <v>46</v>
      </c>
      <c r="C7" s="9">
        <v>46136</v>
      </c>
      <c r="D7" s="11">
        <v>46139</v>
      </c>
      <c r="E7" s="10">
        <f t="shared" si="0"/>
        <v>2</v>
      </c>
      <c r="F7" s="6" t="s">
        <v>13</v>
      </c>
      <c r="G7" s="4"/>
      <c r="H7" s="4"/>
      <c r="I7" s="7" t="str">
        <f t="shared" ca="1" si="1"/>
        <v>🟡 Por iniciar</v>
      </c>
    </row>
    <row r="8" spans="1:10" x14ac:dyDescent="0.35">
      <c r="A8" s="15" t="s">
        <v>205</v>
      </c>
      <c r="B8" s="8" t="s">
        <v>18</v>
      </c>
      <c r="C8" s="9">
        <v>46136</v>
      </c>
      <c r="D8" s="11">
        <v>46139</v>
      </c>
      <c r="E8" s="10">
        <f t="shared" si="0"/>
        <v>2</v>
      </c>
      <c r="F8" s="6" t="s">
        <v>13</v>
      </c>
      <c r="G8" s="4"/>
      <c r="H8" s="4"/>
      <c r="I8" s="7" t="str">
        <f t="shared" ca="1" si="1"/>
        <v>🟡 Por iniciar</v>
      </c>
      <c r="J8" t="s">
        <v>47</v>
      </c>
    </row>
    <row r="9" spans="1:10" x14ac:dyDescent="0.35">
      <c r="A9" s="15" t="s">
        <v>206</v>
      </c>
      <c r="B9" s="15" t="s">
        <v>74</v>
      </c>
      <c r="C9" s="9">
        <v>46136</v>
      </c>
      <c r="D9" s="11">
        <v>46139</v>
      </c>
      <c r="E9" s="10">
        <f>NETWORKDAYS(C9,D9)</f>
        <v>2</v>
      </c>
      <c r="F9" s="6" t="s">
        <v>13</v>
      </c>
      <c r="G9" s="4"/>
      <c r="H9" s="4"/>
      <c r="I9" s="7" t="str">
        <f ca="1">IF(F9="✅","✅ Completado",IF(TODAY()&lt;C9,"🟡 Por iniciar",IF(TODAY()&lt;=D9,"🟢 En proceso","🔴 Atrasado")))</f>
        <v>🟡 Por iniciar</v>
      </c>
    </row>
    <row r="10" spans="1:10" x14ac:dyDescent="0.35">
      <c r="A10" s="15" t="s">
        <v>207</v>
      </c>
      <c r="B10" s="15" t="s">
        <v>117</v>
      </c>
      <c r="C10" s="9">
        <v>46142</v>
      </c>
      <c r="D10" s="9">
        <v>46142</v>
      </c>
      <c r="E10" s="10">
        <f>NETWORKDAYS(C10,D10)</f>
        <v>1</v>
      </c>
      <c r="F10" s="6" t="s">
        <v>13</v>
      </c>
      <c r="G10" s="4"/>
      <c r="H10" s="21"/>
      <c r="I10" s="7" t="str">
        <f ca="1">IF(F10="✅","✅ Completado",IF(TODAY()&lt;C10,"🟡 Por iniciar",IF(TODAY()&lt;=D10,"🟢 En proceso","🔴 Atrasado")))</f>
        <v>🟡 Por iniciar</v>
      </c>
    </row>
    <row r="11" spans="1:10" x14ac:dyDescent="0.35">
      <c r="A11" s="15" t="s">
        <v>208</v>
      </c>
      <c r="B11" s="15" t="s">
        <v>209</v>
      </c>
      <c r="C11" s="9"/>
      <c r="D11" s="9"/>
      <c r="E11" s="10">
        <f>NETWORKDAYS(C11,D11)</f>
        <v>0</v>
      </c>
      <c r="F11" s="6" t="s">
        <v>13</v>
      </c>
      <c r="G11" s="4"/>
      <c r="H11" s="4" t="s">
        <v>210</v>
      </c>
      <c r="I11" s="7" t="str">
        <f ca="1">IF(F11="✅","✅ Completado",IF(TODAY()&lt;C11,"🟡 Por iniciar",IF(TODAY()&lt;=D11,"🟢 En proceso","🔴 Atrasado")))</f>
        <v>🔴 Atrasado</v>
      </c>
    </row>
    <row r="12" spans="1:10" x14ac:dyDescent="0.35">
      <c r="A12" s="15" t="s">
        <v>211</v>
      </c>
      <c r="B12" s="15" t="s">
        <v>120</v>
      </c>
      <c r="C12" s="9"/>
      <c r="D12" s="9"/>
      <c r="E12" s="10">
        <f>NETWORKDAYS(C12,D12)</f>
        <v>0</v>
      </c>
      <c r="F12" s="6" t="s">
        <v>13</v>
      </c>
      <c r="G12" s="4"/>
      <c r="H12" s="4"/>
      <c r="I12" s="7" t="str">
        <f ca="1">IF(F12="✅","✅ Completado",IF(TODAY()&lt;C12,"🟡 Por iniciar",IF(TODAY()&lt;=D12,"🟢 En proceso","🔴 Atrasado")))</f>
        <v>🔴 Atrasado</v>
      </c>
    </row>
    <row r="13" spans="1:10" x14ac:dyDescent="0.35">
      <c r="A13" s="15" t="s">
        <v>212</v>
      </c>
      <c r="B13" s="15" t="s">
        <v>38</v>
      </c>
      <c r="C13" s="9">
        <v>46172</v>
      </c>
      <c r="D13" s="9">
        <v>46172</v>
      </c>
      <c r="E13" s="10">
        <f>NETWORKDAYS(C13,D13)</f>
        <v>0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213</v>
      </c>
      <c r="B14" s="8" t="s">
        <v>55</v>
      </c>
      <c r="C14" s="9">
        <v>46173</v>
      </c>
      <c r="D14" s="9">
        <v>46173</v>
      </c>
      <c r="E14" s="4">
        <f t="shared" si="0"/>
        <v>0</v>
      </c>
      <c r="F14" s="6" t="s">
        <v>13</v>
      </c>
      <c r="G14" s="4"/>
      <c r="H14" s="4"/>
      <c r="I14" s="7" t="str">
        <f t="shared" ca="1" si="1"/>
        <v>🟡 Por iniciar</v>
      </c>
    </row>
    <row r="15" spans="1:10" x14ac:dyDescent="0.35">
      <c r="A15" s="15" t="s">
        <v>214</v>
      </c>
      <c r="B15" s="8" t="s">
        <v>43</v>
      </c>
      <c r="C15" s="9">
        <v>46174</v>
      </c>
      <c r="D15" s="9">
        <v>46174</v>
      </c>
      <c r="E15" s="4">
        <f t="shared" si="0"/>
        <v>1</v>
      </c>
      <c r="F15" s="6" t="s">
        <v>13</v>
      </c>
      <c r="G15" s="4"/>
      <c r="H15" s="4"/>
      <c r="I15" s="7" t="str">
        <f t="shared" ca="1" si="1"/>
        <v>🟡 Por iniciar</v>
      </c>
    </row>
    <row r="16" spans="1:10" x14ac:dyDescent="0.35">
      <c r="A16" s="15" t="s">
        <v>215</v>
      </c>
      <c r="B16" s="8" t="s">
        <v>44</v>
      </c>
      <c r="C16" s="9">
        <v>46175</v>
      </c>
      <c r="D16" s="9">
        <v>46175</v>
      </c>
      <c r="E16" s="4">
        <f t="shared" si="0"/>
        <v>1</v>
      </c>
      <c r="F16" s="6" t="s">
        <v>13</v>
      </c>
      <c r="G16" s="4"/>
      <c r="H16" s="4"/>
      <c r="I16" s="7" t="str">
        <f t="shared" ca="1" si="1"/>
        <v>🟡 Por iniciar</v>
      </c>
    </row>
    <row r="19" spans="1:6" x14ac:dyDescent="0.35">
      <c r="A19" s="18" t="s">
        <v>56</v>
      </c>
      <c r="B19" s="17" t="s">
        <v>137</v>
      </c>
    </row>
    <row r="22" spans="1:6" x14ac:dyDescent="0.35">
      <c r="B22" t="s">
        <v>216</v>
      </c>
    </row>
    <row r="24" spans="1:6" x14ac:dyDescent="0.35">
      <c r="B24" t="s">
        <v>217</v>
      </c>
    </row>
    <row r="25" spans="1:6" x14ac:dyDescent="0.35">
      <c r="B25" s="19"/>
    </row>
    <row r="26" spans="1:6" x14ac:dyDescent="0.35">
      <c r="B26" t="s">
        <v>218</v>
      </c>
      <c r="F26" t="s">
        <v>279</v>
      </c>
    </row>
  </sheetData>
  <phoneticPr fontId="6" type="noConversion"/>
  <conditionalFormatting sqref="C1">
    <cfRule type="containsText" dxfId="56" priority="1" operator="containsText" text="✅">
      <formula>NOT(ISERROR(SEARCH("✅",C1)))</formula>
    </cfRule>
  </conditionalFormatting>
  <conditionalFormatting sqref="C3:H16">
    <cfRule type="expression" dxfId="55" priority="2">
      <formula>$I3="🔴 Atrasado"</formula>
    </cfRule>
  </conditionalFormatting>
  <conditionalFormatting sqref="F1:F1048576">
    <cfRule type="containsText" dxfId="54" priority="3" operator="containsText" text="✅">
      <formula>NOT(ISERROR(SEARCH("✅",F1)))</formula>
    </cfRule>
  </conditionalFormatting>
  <conditionalFormatting sqref="I1:I1048576">
    <cfRule type="containsText" dxfId="53" priority="4" operator="containsText" text="Completado">
      <formula>NOT(ISERROR(SEARCH("Completado",I1)))</formula>
    </cfRule>
    <cfRule type="containsText" dxfId="52" priority="5" operator="containsText" text="Atrasado">
      <formula>NOT(ISERROR(SEARCH("Atrasado",I1)))</formula>
    </cfRule>
    <cfRule type="containsText" dxfId="51" priority="6" operator="containsText" text="En proceso">
      <formula>NOT(ISERROR(SEARCH("En proceso",I1)))</formula>
    </cfRule>
    <cfRule type="containsText" dxfId="50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6" xr:uid="{398966A3-D989-4622-8AE3-1D4478039C5C}">
      <formula1>"✅,No,"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2A8A-FD3C-4DFB-9180-6DFEB85F7131}">
  <dimension ref="A1:J26"/>
  <sheetViews>
    <sheetView workbookViewId="0">
      <selection activeCell="F8" sqref="F8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37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219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219</v>
      </c>
      <c r="B3" s="15" t="s">
        <v>12</v>
      </c>
      <c r="C3" s="9">
        <v>46083</v>
      </c>
      <c r="D3" s="9">
        <v>46086</v>
      </c>
      <c r="E3" s="10">
        <f t="shared" ref="E3:E15" si="0">NETWORKDAYS(C3,D3)</f>
        <v>4</v>
      </c>
      <c r="F3" s="6" t="s">
        <v>11</v>
      </c>
      <c r="G3" s="4"/>
      <c r="H3" s="4"/>
      <c r="I3" s="7" t="str">
        <f t="shared" ref="I3:I15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220</v>
      </c>
      <c r="B4" s="15" t="s">
        <v>14</v>
      </c>
      <c r="C4" s="9">
        <v>46083</v>
      </c>
      <c r="D4" s="9">
        <v>46086</v>
      </c>
      <c r="E4" s="10">
        <f t="shared" si="0"/>
        <v>4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221</v>
      </c>
      <c r="B5" s="15" t="s">
        <v>15</v>
      </c>
      <c r="C5" s="9">
        <v>46083</v>
      </c>
      <c r="D5" s="9">
        <v>46086</v>
      </c>
      <c r="E5" s="10">
        <f t="shared" si="0"/>
        <v>4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222</v>
      </c>
      <c r="B6" s="15" t="s">
        <v>16</v>
      </c>
      <c r="C6" s="9">
        <v>46084</v>
      </c>
      <c r="D6" s="11">
        <v>46101</v>
      </c>
      <c r="E6" s="10">
        <f t="shared" si="0"/>
        <v>14</v>
      </c>
      <c r="F6" s="6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223</v>
      </c>
      <c r="B7" s="15" t="s">
        <v>46</v>
      </c>
      <c r="C7" s="9">
        <v>46084</v>
      </c>
      <c r="D7" s="11">
        <v>46087</v>
      </c>
      <c r="E7" s="10">
        <f t="shared" si="0"/>
        <v>4</v>
      </c>
      <c r="F7" s="6" t="s">
        <v>11</v>
      </c>
      <c r="G7" s="4"/>
      <c r="H7" s="4"/>
      <c r="I7" s="7" t="str">
        <f t="shared" ca="1" si="1"/>
        <v>✅ Completado</v>
      </c>
    </row>
    <row r="8" spans="1:10" x14ac:dyDescent="0.35">
      <c r="A8" s="15" t="s">
        <v>224</v>
      </c>
      <c r="B8" s="8" t="s">
        <v>18</v>
      </c>
      <c r="C8" s="9">
        <v>46084</v>
      </c>
      <c r="D8" s="11">
        <v>46087</v>
      </c>
      <c r="E8" s="10">
        <f t="shared" si="0"/>
        <v>4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0" x14ac:dyDescent="0.35">
      <c r="A9" s="15" t="s">
        <v>225</v>
      </c>
      <c r="B9" s="15" t="s">
        <v>74</v>
      </c>
      <c r="C9" s="11">
        <v>46087</v>
      </c>
      <c r="D9" s="11">
        <v>46087</v>
      </c>
      <c r="E9" s="10">
        <f>NETWORKDAYS(C9,D9)</f>
        <v>1</v>
      </c>
      <c r="F9" s="6" t="s">
        <v>11</v>
      </c>
      <c r="G9" s="4"/>
      <c r="H9" s="4"/>
      <c r="I9" s="7" t="str">
        <f ca="1">IF(F9="✅","✅ Completado",IF(TODAY()&lt;C9,"🟡 Por iniciar",IF(TODAY()&lt;=D9,"🟢 En proceso","🔴 Atrasado")))</f>
        <v>✅ Completado</v>
      </c>
    </row>
    <row r="10" spans="1:10" x14ac:dyDescent="0.35">
      <c r="A10" s="15" t="s">
        <v>226</v>
      </c>
      <c r="B10" s="15" t="s">
        <v>117</v>
      </c>
      <c r="C10" s="11">
        <v>46087</v>
      </c>
      <c r="D10" s="11">
        <v>46087</v>
      </c>
      <c r="E10" s="10">
        <f>NETWORKDAYS(C10,D10)</f>
        <v>1</v>
      </c>
      <c r="F10" s="6" t="s">
        <v>11</v>
      </c>
      <c r="G10" s="4"/>
      <c r="H10" s="21"/>
      <c r="I10" s="7" t="str">
        <f ca="1">IF(F10="✅","✅ Completado",IF(TODAY()&lt;C10,"🟡 Por iniciar",IF(TODAY()&lt;=D10,"🟢 En proceso","🔴 Atrasado")))</f>
        <v>✅ Completado</v>
      </c>
    </row>
    <row r="11" spans="1:10" x14ac:dyDescent="0.35">
      <c r="A11" s="15" t="s">
        <v>227</v>
      </c>
      <c r="B11" s="15" t="s">
        <v>81</v>
      </c>
      <c r="C11" s="9">
        <v>46174</v>
      </c>
      <c r="D11" s="9">
        <v>46203</v>
      </c>
      <c r="E11" s="10">
        <f>NETWORKDAYS(C11,D11)</f>
        <v>22</v>
      </c>
      <c r="F11" s="6" t="s">
        <v>13</v>
      </c>
      <c r="G11" s="4"/>
      <c r="H11" s="4" t="s">
        <v>228</v>
      </c>
      <c r="I11" s="7" t="str">
        <f ca="1">IF(F11="✅","✅ Completado",IF(TODAY()&lt;C11,"🟡 Por iniciar",IF(TODAY()&lt;=D11,"🟢 En proceso","🔴 Atrasado")))</f>
        <v>🟡 Por iniciar</v>
      </c>
    </row>
    <row r="12" spans="1:10" x14ac:dyDescent="0.35">
      <c r="A12" s="15" t="s">
        <v>229</v>
      </c>
      <c r="B12" s="15" t="s">
        <v>38</v>
      </c>
      <c r="C12" s="9">
        <v>46204</v>
      </c>
      <c r="D12" s="9">
        <v>46208</v>
      </c>
      <c r="E12" s="10">
        <f>NETWORKDAYS(C12,D12)</f>
        <v>3</v>
      </c>
      <c r="F12" s="6" t="s">
        <v>13</v>
      </c>
      <c r="G12" s="4"/>
      <c r="H12" s="4"/>
      <c r="I12" s="7" t="str">
        <f t="shared" ca="1" si="1"/>
        <v>🟡 Por iniciar</v>
      </c>
    </row>
    <row r="13" spans="1:10" x14ac:dyDescent="0.35">
      <c r="A13" s="15" t="s">
        <v>230</v>
      </c>
      <c r="B13" s="8" t="s">
        <v>55</v>
      </c>
      <c r="C13" s="9">
        <v>46205</v>
      </c>
      <c r="D13" s="9">
        <v>46209</v>
      </c>
      <c r="E13" s="4">
        <f t="shared" si="0"/>
        <v>3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231</v>
      </c>
      <c r="B14" s="8" t="s">
        <v>43</v>
      </c>
      <c r="C14" s="9">
        <v>46206</v>
      </c>
      <c r="D14" s="9">
        <v>46210</v>
      </c>
      <c r="E14" s="4">
        <f t="shared" si="0"/>
        <v>3</v>
      </c>
      <c r="F14" s="6" t="s">
        <v>13</v>
      </c>
      <c r="G14" s="4"/>
      <c r="H14" s="4"/>
      <c r="I14" s="7" t="str">
        <f t="shared" ca="1" si="1"/>
        <v>🟡 Por iniciar</v>
      </c>
    </row>
    <row r="15" spans="1:10" x14ac:dyDescent="0.35">
      <c r="A15" s="15" t="s">
        <v>232</v>
      </c>
      <c r="B15" s="8" t="s">
        <v>44</v>
      </c>
      <c r="C15" s="9">
        <v>46207</v>
      </c>
      <c r="D15" s="9">
        <v>46211</v>
      </c>
      <c r="E15" s="4">
        <f t="shared" si="0"/>
        <v>3</v>
      </c>
      <c r="F15" s="6" t="s">
        <v>13</v>
      </c>
      <c r="G15" s="4"/>
      <c r="H15" s="4"/>
      <c r="I15" s="7" t="str">
        <f t="shared" ca="1" si="1"/>
        <v>🟡 Por iniciar</v>
      </c>
    </row>
    <row r="18" spans="1:2" x14ac:dyDescent="0.35">
      <c r="A18" s="18" t="s">
        <v>56</v>
      </c>
      <c r="B18" s="17" t="s">
        <v>233</v>
      </c>
    </row>
    <row r="21" spans="1:2" x14ac:dyDescent="0.35">
      <c r="B21" s="19" t="s">
        <v>234</v>
      </c>
    </row>
    <row r="24" spans="1:2" x14ac:dyDescent="0.35">
      <c r="B24" s="17" t="s">
        <v>280</v>
      </c>
    </row>
    <row r="26" spans="1:2" x14ac:dyDescent="0.35">
      <c r="B26" t="s">
        <v>235</v>
      </c>
    </row>
  </sheetData>
  <phoneticPr fontId="6" type="noConversion"/>
  <conditionalFormatting sqref="C1">
    <cfRule type="containsText" dxfId="49" priority="1" operator="containsText" text="✅">
      <formula>NOT(ISERROR(SEARCH("✅",C1)))</formula>
    </cfRule>
  </conditionalFormatting>
  <conditionalFormatting sqref="C3:H15">
    <cfRule type="expression" dxfId="48" priority="2">
      <formula>$I3="🔴 Atrasado"</formula>
    </cfRule>
  </conditionalFormatting>
  <conditionalFormatting sqref="F1:F1048576">
    <cfRule type="containsText" dxfId="47" priority="3" operator="containsText" text="✅">
      <formula>NOT(ISERROR(SEARCH("✅",F1)))</formula>
    </cfRule>
  </conditionalFormatting>
  <conditionalFormatting sqref="I1:I1048576">
    <cfRule type="containsText" dxfId="46" priority="4" operator="containsText" text="Completado">
      <formula>NOT(ISERROR(SEARCH("Completado",I1)))</formula>
    </cfRule>
    <cfRule type="containsText" dxfId="45" priority="5" operator="containsText" text="Atrasado">
      <formula>NOT(ISERROR(SEARCH("Atrasado",I1)))</formula>
    </cfRule>
    <cfRule type="containsText" dxfId="44" priority="6" operator="containsText" text="En proceso">
      <formula>NOT(ISERROR(SEARCH("En proceso",I1)))</formula>
    </cfRule>
    <cfRule type="containsText" dxfId="43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5" xr:uid="{1BD581A9-8C8D-463B-BB57-B3DDD5B7DFEF}">
      <formula1>"✅,No,"</formula1>
    </dataValidation>
  </dataValidations>
  <hyperlinks>
    <hyperlink ref="B21" r:id="rId1" display="../../../../../../../:x:/g/personal/paulina_oliveros_ibero_mx/IQB6SfYZh38wQ4_vDLN9_cKaAag4dYtoAL9RzvhmAYAoVac" xr:uid="{BE549A6D-0E82-47D8-992F-79722E629C8C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6966-0F65-44A3-AC3B-FEEF08BDFBA6}">
  <dimension ref="A1:J26"/>
  <sheetViews>
    <sheetView topLeftCell="A3" workbookViewId="0">
      <selection activeCell="D28" sqref="D28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28.81640625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236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236</v>
      </c>
      <c r="B3" s="15" t="s">
        <v>15</v>
      </c>
      <c r="C3" s="9">
        <v>46068</v>
      </c>
      <c r="D3" s="9">
        <v>46075</v>
      </c>
      <c r="E3" s="10">
        <f>NETWORKDAYS(C3,D3)</f>
        <v>5</v>
      </c>
      <c r="F3" s="6" t="s">
        <v>11</v>
      </c>
      <c r="G3" s="4"/>
      <c r="H3" s="4"/>
      <c r="I3" s="7" t="str">
        <f ca="1">IF(F3="✅","✅ Completado",IF(TODAY()&lt;C3,"🟡 Por iniciar",IF(TODAY()&lt;=D3,"🟢 En proceso","🔴 Atrasado")))</f>
        <v>✅ Completado</v>
      </c>
    </row>
    <row r="4" spans="1:10" x14ac:dyDescent="0.35">
      <c r="A4" s="15" t="s">
        <v>236</v>
      </c>
      <c r="B4" s="15" t="s">
        <v>12</v>
      </c>
      <c r="C4" s="9">
        <v>46084</v>
      </c>
      <c r="D4" s="9">
        <v>46086</v>
      </c>
      <c r="E4" s="10">
        <f t="shared" ref="E4:E19" si="0">NETWORKDAYS(C4,D4)</f>
        <v>3</v>
      </c>
      <c r="F4" s="6" t="s">
        <v>11</v>
      </c>
      <c r="G4" s="4"/>
      <c r="H4" s="4"/>
      <c r="I4" s="7" t="str">
        <f t="shared" ref="I4:I19" ca="1" si="1">IF(F4="✅","✅ Completado",IF(TODAY()&lt;C4,"🟡 Por iniciar",IF(TODAY()&lt;=D4,"🟢 En proceso","🔴 Atrasado")))</f>
        <v>✅ Completado</v>
      </c>
    </row>
    <row r="5" spans="1:10" x14ac:dyDescent="0.35">
      <c r="A5" s="15" t="s">
        <v>236</v>
      </c>
      <c r="B5" s="15" t="s">
        <v>14</v>
      </c>
      <c r="C5" s="9">
        <v>46084</v>
      </c>
      <c r="D5" s="9">
        <v>46086</v>
      </c>
      <c r="E5" s="10">
        <f t="shared" si="0"/>
        <v>3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236</v>
      </c>
      <c r="B6" s="15" t="s">
        <v>16</v>
      </c>
      <c r="C6" s="9">
        <v>46086</v>
      </c>
      <c r="D6" s="11">
        <v>46108</v>
      </c>
      <c r="E6" s="10">
        <f t="shared" si="0"/>
        <v>17</v>
      </c>
      <c r="F6" s="23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236</v>
      </c>
      <c r="B7" s="15" t="s">
        <v>46</v>
      </c>
      <c r="C7" s="9">
        <v>46116</v>
      </c>
      <c r="D7" s="11">
        <v>46127</v>
      </c>
      <c r="E7" s="10">
        <f t="shared" si="0"/>
        <v>8</v>
      </c>
      <c r="F7" s="6" t="s">
        <v>13</v>
      </c>
      <c r="G7" s="4"/>
      <c r="H7" s="4"/>
      <c r="I7" s="7" t="str">
        <f t="shared" ca="1" si="1"/>
        <v>🔴 Atrasado</v>
      </c>
    </row>
    <row r="8" spans="1:10" x14ac:dyDescent="0.35">
      <c r="A8" s="15" t="s">
        <v>236</v>
      </c>
      <c r="B8" s="15" t="s">
        <v>18</v>
      </c>
      <c r="C8" s="9">
        <v>46116</v>
      </c>
      <c r="D8" s="11">
        <v>46127</v>
      </c>
      <c r="E8" s="10">
        <f t="shared" si="0"/>
        <v>8</v>
      </c>
      <c r="F8" s="6" t="s">
        <v>13</v>
      </c>
      <c r="G8" s="4"/>
      <c r="H8" s="4"/>
      <c r="I8" s="7" t="str">
        <f t="shared" ca="1" si="1"/>
        <v>🔴 Atrasado</v>
      </c>
      <c r="J8" t="s">
        <v>47</v>
      </c>
    </row>
    <row r="9" spans="1:10" x14ac:dyDescent="0.35">
      <c r="A9" s="15" t="s">
        <v>236</v>
      </c>
      <c r="B9" s="15" t="s">
        <v>297</v>
      </c>
      <c r="C9" s="9">
        <v>46143</v>
      </c>
      <c r="D9" s="9">
        <v>46143</v>
      </c>
      <c r="E9" s="10">
        <f t="shared" ref="E9" si="2">NETWORKDAYS(C9,D9)</f>
        <v>1</v>
      </c>
      <c r="F9" s="6" t="s">
        <v>13</v>
      </c>
      <c r="G9" s="4"/>
      <c r="H9" s="4"/>
      <c r="I9" s="7" t="str">
        <f t="shared" ref="I9" ca="1" si="3">IF(F9="✅","✅ Completado",IF(TODAY()&lt;C9,"🟡 Por iniciar",IF(TODAY()&lt;=D9,"🟢 En proceso","🔴 Atrasado")))</f>
        <v>🟡 Por iniciar</v>
      </c>
    </row>
    <row r="10" spans="1:10" x14ac:dyDescent="0.35">
      <c r="A10" s="15" t="s">
        <v>236</v>
      </c>
      <c r="B10" s="15" t="s">
        <v>237</v>
      </c>
      <c r="C10" s="9">
        <v>46128</v>
      </c>
      <c r="D10" s="11">
        <v>46132</v>
      </c>
      <c r="E10" s="10">
        <f t="shared" si="0"/>
        <v>3</v>
      </c>
      <c r="F10" s="6" t="s">
        <v>13</v>
      </c>
      <c r="G10" s="4"/>
      <c r="H10" s="4"/>
      <c r="I10" s="7" t="str">
        <f t="shared" ca="1" si="1"/>
        <v>🟢 En proceso</v>
      </c>
    </row>
    <row r="11" spans="1:10" x14ac:dyDescent="0.35">
      <c r="A11" s="15" t="s">
        <v>236</v>
      </c>
      <c r="B11" s="15" t="s">
        <v>238</v>
      </c>
      <c r="C11" s="9">
        <v>46128</v>
      </c>
      <c r="D11" s="11">
        <v>46132</v>
      </c>
      <c r="E11" s="10">
        <f t="shared" ref="E11:E13" si="4">NETWORKDAYS(C11,D11)</f>
        <v>3</v>
      </c>
      <c r="F11" s="6" t="s">
        <v>13</v>
      </c>
      <c r="G11" s="4"/>
      <c r="H11" s="4"/>
      <c r="I11" s="7" t="str">
        <f t="shared" ca="1" si="1"/>
        <v>🟢 En proceso</v>
      </c>
    </row>
    <row r="12" spans="1:10" x14ac:dyDescent="0.35">
      <c r="A12" s="15" t="s">
        <v>236</v>
      </c>
      <c r="B12" s="15" t="s">
        <v>239</v>
      </c>
      <c r="C12" s="9">
        <v>46146</v>
      </c>
      <c r="D12" s="11">
        <v>46149</v>
      </c>
      <c r="E12" s="10">
        <f t="shared" si="4"/>
        <v>4</v>
      </c>
      <c r="F12" s="6" t="s">
        <v>13</v>
      </c>
      <c r="G12" s="4"/>
      <c r="H12" s="4"/>
      <c r="I12" s="7" t="str">
        <f t="shared" ca="1" si="1"/>
        <v>🟡 Por iniciar</v>
      </c>
    </row>
    <row r="13" spans="1:10" x14ac:dyDescent="0.35">
      <c r="A13" s="15" t="s">
        <v>236</v>
      </c>
      <c r="B13" s="15" t="s">
        <v>175</v>
      </c>
      <c r="C13" s="9">
        <v>46146</v>
      </c>
      <c r="D13" s="11">
        <v>46149</v>
      </c>
      <c r="E13" s="10">
        <f t="shared" si="4"/>
        <v>4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236</v>
      </c>
      <c r="B14" s="15" t="s">
        <v>240</v>
      </c>
      <c r="C14" s="9">
        <v>46181</v>
      </c>
      <c r="D14" s="9">
        <v>46184</v>
      </c>
      <c r="E14" s="10">
        <f>NETWORKDAYS(C14,D14)</f>
        <v>4</v>
      </c>
      <c r="F14" s="6" t="s">
        <v>13</v>
      </c>
      <c r="G14" s="4"/>
      <c r="H14" s="4" t="s">
        <v>241</v>
      </c>
      <c r="I14" s="7" t="str">
        <f ca="1">IF(F14="✅","✅ Completado",IF(TODAY()&lt;C14,"🟡 Por iniciar",IF(TODAY()&lt;=D14,"🟢 En proceso","🔴 Atrasado")))</f>
        <v>🟡 Por iniciar</v>
      </c>
    </row>
    <row r="15" spans="1:10" x14ac:dyDescent="0.35">
      <c r="A15" s="15" t="s">
        <v>236</v>
      </c>
      <c r="B15" s="15" t="s">
        <v>81</v>
      </c>
      <c r="C15" s="9">
        <v>46184</v>
      </c>
      <c r="D15" s="9">
        <v>46184</v>
      </c>
      <c r="E15" s="10">
        <f>NETWORKDAYS(C15,D15)</f>
        <v>1</v>
      </c>
      <c r="F15" s="6" t="s">
        <v>13</v>
      </c>
      <c r="G15" s="4"/>
      <c r="H15" s="4"/>
      <c r="I15" s="7" t="str">
        <f ca="1">IF(F15="✅","✅ Completado",IF(TODAY()&lt;C15,"🟡 Por iniciar",IF(TODAY()&lt;=D15,"🟢 En proceso","🔴 Atrasado")))</f>
        <v>🟡 Por iniciar</v>
      </c>
    </row>
    <row r="16" spans="1:10" x14ac:dyDescent="0.35">
      <c r="A16" s="15" t="s">
        <v>236</v>
      </c>
      <c r="B16" s="15" t="s">
        <v>38</v>
      </c>
      <c r="C16" s="9">
        <v>46185</v>
      </c>
      <c r="D16" s="9">
        <v>46185</v>
      </c>
      <c r="E16" s="10">
        <f>NETWORKDAYS(C16,D16)</f>
        <v>1</v>
      </c>
      <c r="F16" s="6" t="s">
        <v>13</v>
      </c>
      <c r="G16" s="4"/>
      <c r="H16" s="4"/>
      <c r="I16" s="7" t="str">
        <f t="shared" ca="1" si="1"/>
        <v>🟡 Por iniciar</v>
      </c>
    </row>
    <row r="17" spans="1:9" x14ac:dyDescent="0.35">
      <c r="A17" s="15" t="s">
        <v>236</v>
      </c>
      <c r="B17" s="8" t="s">
        <v>55</v>
      </c>
      <c r="C17" s="9">
        <v>46186</v>
      </c>
      <c r="D17" s="9">
        <v>46186</v>
      </c>
      <c r="E17" s="10">
        <f t="shared" si="0"/>
        <v>0</v>
      </c>
      <c r="F17" s="6" t="s">
        <v>13</v>
      </c>
      <c r="G17" s="4"/>
      <c r="H17" s="4"/>
      <c r="I17" s="7" t="str">
        <f t="shared" ca="1" si="1"/>
        <v>🟡 Por iniciar</v>
      </c>
    </row>
    <row r="18" spans="1:9" x14ac:dyDescent="0.35">
      <c r="A18" s="15" t="s">
        <v>236</v>
      </c>
      <c r="B18" s="8" t="s">
        <v>43</v>
      </c>
      <c r="C18" s="9">
        <v>46187</v>
      </c>
      <c r="D18" s="9">
        <v>46187</v>
      </c>
      <c r="E18" s="10">
        <f t="shared" si="0"/>
        <v>0</v>
      </c>
      <c r="F18" s="6" t="s">
        <v>13</v>
      </c>
      <c r="G18" s="4"/>
      <c r="H18" s="4"/>
      <c r="I18" s="7" t="str">
        <f t="shared" ca="1" si="1"/>
        <v>🟡 Por iniciar</v>
      </c>
    </row>
    <row r="19" spans="1:9" x14ac:dyDescent="0.35">
      <c r="A19" s="15" t="s">
        <v>236</v>
      </c>
      <c r="B19" s="8" t="s">
        <v>44</v>
      </c>
      <c r="C19" s="9">
        <v>46188</v>
      </c>
      <c r="D19" s="9">
        <v>46188</v>
      </c>
      <c r="E19" s="10">
        <f t="shared" si="0"/>
        <v>1</v>
      </c>
      <c r="F19" s="6" t="s">
        <v>13</v>
      </c>
      <c r="G19" s="4"/>
      <c r="H19" s="4"/>
      <c r="I19" s="7" t="str">
        <f t="shared" ca="1" si="1"/>
        <v>🟡 Por iniciar</v>
      </c>
    </row>
    <row r="22" spans="1:9" x14ac:dyDescent="0.35">
      <c r="A22" s="18" t="s">
        <v>56</v>
      </c>
      <c r="B22" s="17" t="s">
        <v>242</v>
      </c>
    </row>
    <row r="23" spans="1:9" x14ac:dyDescent="0.35">
      <c r="B23" s="17"/>
    </row>
    <row r="24" spans="1:9" x14ac:dyDescent="0.35">
      <c r="B24" s="17"/>
    </row>
    <row r="25" spans="1:9" x14ac:dyDescent="0.35">
      <c r="B25" t="s">
        <v>295</v>
      </c>
    </row>
    <row r="26" spans="1:9" x14ac:dyDescent="0.35">
      <c r="B26" t="s">
        <v>296</v>
      </c>
    </row>
  </sheetData>
  <phoneticPr fontId="6" type="noConversion"/>
  <conditionalFormatting sqref="C1">
    <cfRule type="containsText" dxfId="42" priority="1" operator="containsText" text="✅">
      <formula>NOT(ISERROR(SEARCH("✅",C1)))</formula>
    </cfRule>
  </conditionalFormatting>
  <conditionalFormatting sqref="C3:H19">
    <cfRule type="expression" dxfId="41" priority="2">
      <formula>$I3="🔴 Atrasado"</formula>
    </cfRule>
  </conditionalFormatting>
  <conditionalFormatting sqref="F1:F1048576">
    <cfRule type="containsText" dxfId="40" priority="3" operator="containsText" text="✅">
      <formula>NOT(ISERROR(SEARCH("✅",F1)))</formula>
    </cfRule>
  </conditionalFormatting>
  <conditionalFormatting sqref="I1:I1048576">
    <cfRule type="containsText" dxfId="39" priority="4" operator="containsText" text="Completado">
      <formula>NOT(ISERROR(SEARCH("Completado",I1)))</formula>
    </cfRule>
    <cfRule type="containsText" dxfId="38" priority="5" operator="containsText" text="Atrasado">
      <formula>NOT(ISERROR(SEARCH("Atrasado",I1)))</formula>
    </cfRule>
    <cfRule type="containsText" dxfId="37" priority="6" operator="containsText" text="En proceso">
      <formula>NOT(ISERROR(SEARCH("En proceso",I1)))</formula>
    </cfRule>
    <cfRule type="containsText" dxfId="36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9" xr:uid="{13E464A3-8F89-4D23-B912-E5D14681C90A}">
      <formula1>"✅,No,"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B820-467F-4B0F-9FA7-CF4C8E603873}">
  <dimension ref="A1:J23"/>
  <sheetViews>
    <sheetView tabSelected="1" workbookViewId="0">
      <selection activeCell="G23" sqref="G23"/>
    </sheetView>
  </sheetViews>
  <sheetFormatPr baseColWidth="10" defaultColWidth="8.81640625" defaultRowHeight="14.5" x14ac:dyDescent="0.35"/>
  <cols>
    <col min="1" max="1" width="30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37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243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243</v>
      </c>
      <c r="B3" s="15" t="s">
        <v>12</v>
      </c>
      <c r="C3" s="9">
        <v>46083</v>
      </c>
      <c r="D3" s="9">
        <v>46086</v>
      </c>
      <c r="E3" s="10">
        <f t="shared" ref="E3:E16" si="0">NETWORKDAYS(C3,D3)</f>
        <v>4</v>
      </c>
      <c r="F3" s="6" t="s">
        <v>11</v>
      </c>
      <c r="G3" s="4"/>
      <c r="H3" s="4"/>
      <c r="I3" s="7" t="str">
        <f t="shared" ref="I3:I16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243</v>
      </c>
      <c r="B4" s="15" t="s">
        <v>14</v>
      </c>
      <c r="C4" s="9">
        <v>46083</v>
      </c>
      <c r="D4" s="9">
        <v>46086</v>
      </c>
      <c r="E4" s="10">
        <f t="shared" si="0"/>
        <v>4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243</v>
      </c>
      <c r="B5" s="15" t="s">
        <v>15</v>
      </c>
      <c r="C5" s="9">
        <v>46090</v>
      </c>
      <c r="D5" s="9">
        <v>46125</v>
      </c>
      <c r="E5" s="10">
        <f t="shared" si="0"/>
        <v>26</v>
      </c>
      <c r="F5" s="6" t="s">
        <v>13</v>
      </c>
      <c r="G5" s="4"/>
      <c r="H5" s="4"/>
      <c r="I5" s="7" t="str">
        <f t="shared" ca="1" si="1"/>
        <v>🔴 Atrasado</v>
      </c>
    </row>
    <row r="6" spans="1:10" x14ac:dyDescent="0.35">
      <c r="A6" s="15" t="s">
        <v>243</v>
      </c>
      <c r="B6" s="15" t="s">
        <v>16</v>
      </c>
      <c r="C6" s="9">
        <v>46090</v>
      </c>
      <c r="D6" s="9">
        <v>46125</v>
      </c>
      <c r="E6" s="10">
        <f t="shared" si="0"/>
        <v>26</v>
      </c>
      <c r="F6" s="6" t="s">
        <v>13</v>
      </c>
      <c r="G6" s="4"/>
      <c r="H6" s="4"/>
      <c r="I6" s="7" t="str">
        <f t="shared" ca="1" si="1"/>
        <v>🔴 Atrasado</v>
      </c>
    </row>
    <row r="7" spans="1:10" x14ac:dyDescent="0.35">
      <c r="A7" s="15" t="s">
        <v>243</v>
      </c>
      <c r="B7" s="15" t="s">
        <v>46</v>
      </c>
      <c r="C7" s="9">
        <v>46090</v>
      </c>
      <c r="D7" s="9">
        <v>46125</v>
      </c>
      <c r="E7" s="10">
        <f t="shared" si="0"/>
        <v>26</v>
      </c>
      <c r="F7" s="6" t="s">
        <v>13</v>
      </c>
      <c r="G7" s="4"/>
      <c r="H7" s="4"/>
      <c r="I7" s="7" t="str">
        <f t="shared" ca="1" si="1"/>
        <v>🔴 Atrasado</v>
      </c>
    </row>
    <row r="8" spans="1:10" x14ac:dyDescent="0.35">
      <c r="A8" s="15" t="s">
        <v>243</v>
      </c>
      <c r="B8" s="8" t="s">
        <v>18</v>
      </c>
      <c r="C8" s="9">
        <v>46090</v>
      </c>
      <c r="D8" s="9">
        <v>46125</v>
      </c>
      <c r="E8" s="10">
        <f t="shared" si="0"/>
        <v>26</v>
      </c>
      <c r="F8" s="6" t="s">
        <v>13</v>
      </c>
      <c r="G8" s="4"/>
      <c r="H8" s="4"/>
      <c r="I8" s="7" t="str">
        <f t="shared" ca="1" si="1"/>
        <v>🔴 Atrasado</v>
      </c>
      <c r="J8" t="s">
        <v>47</v>
      </c>
    </row>
    <row r="9" spans="1:10" x14ac:dyDescent="0.35">
      <c r="A9" s="15" t="s">
        <v>243</v>
      </c>
      <c r="B9" s="15" t="s">
        <v>244</v>
      </c>
      <c r="C9" s="9">
        <v>46108</v>
      </c>
      <c r="D9" s="9">
        <v>46108</v>
      </c>
      <c r="E9" s="10">
        <f t="shared" si="0"/>
        <v>1</v>
      </c>
      <c r="F9" s="6" t="s">
        <v>11</v>
      </c>
      <c r="G9" s="4"/>
      <c r="H9" s="21"/>
      <c r="I9" s="7" t="str">
        <f ca="1">IF(F9="✅","✅ Completado",IF(TODAY()&lt;C9,"🟡 Por iniciar",IF(TODAY()&lt;=D9,"🟢 En proceso","🔴 Atrasado")))</f>
        <v>✅ Completado</v>
      </c>
    </row>
    <row r="10" spans="1:10" x14ac:dyDescent="0.35">
      <c r="A10" s="15" t="s">
        <v>243</v>
      </c>
      <c r="B10" s="15" t="s">
        <v>74</v>
      </c>
      <c r="C10" s="9">
        <v>46139</v>
      </c>
      <c r="D10" s="9">
        <v>46139</v>
      </c>
      <c r="E10" s="10">
        <f>NETWORKDAYS(C10,D10)</f>
        <v>1</v>
      </c>
      <c r="F10" s="6" t="s">
        <v>13</v>
      </c>
      <c r="G10" s="4"/>
      <c r="H10" s="4"/>
      <c r="I10" s="7" t="str">
        <f ca="1">IF(F10="✅","✅ Completado",IF(TODAY()&lt;C10,"🟡 Por iniciar",IF(TODAY()&lt;=D10,"🟢 En proceso","🔴 Atrasado")))</f>
        <v>🟡 Por iniciar</v>
      </c>
    </row>
    <row r="11" spans="1:10" x14ac:dyDescent="0.35">
      <c r="A11" s="15" t="s">
        <v>243</v>
      </c>
      <c r="B11" s="15" t="s">
        <v>245</v>
      </c>
      <c r="C11" s="9">
        <v>46195</v>
      </c>
      <c r="D11" s="9">
        <v>46195</v>
      </c>
      <c r="E11" s="10">
        <f>NETWORKDAYS(C11,D11)</f>
        <v>1</v>
      </c>
      <c r="F11" s="6" t="s">
        <v>13</v>
      </c>
      <c r="G11" s="4"/>
      <c r="H11" s="4"/>
      <c r="I11" s="7" t="str">
        <f ca="1">IF(F11="✅","✅ Completado",IF(TODAY()&lt;C11,"🟡 Por iniciar",IF(TODAY()&lt;=D11,"🟢 En proceso","🔴 Atrasado")))</f>
        <v>🟡 Por iniciar</v>
      </c>
    </row>
    <row r="12" spans="1:10" x14ac:dyDescent="0.35">
      <c r="A12" s="15" t="s">
        <v>243</v>
      </c>
      <c r="B12" s="15" t="s">
        <v>120</v>
      </c>
      <c r="C12" s="9">
        <v>46275</v>
      </c>
      <c r="D12" s="9">
        <v>46275</v>
      </c>
      <c r="E12" s="10">
        <f>NETWORKDAYS(C12,D12)</f>
        <v>1</v>
      </c>
      <c r="F12" s="6" t="s">
        <v>13</v>
      </c>
      <c r="G12" s="4"/>
      <c r="H12" s="4"/>
      <c r="I12" s="7" t="str">
        <f ca="1">IF(F12="✅","✅ Completado",IF(TODAY()&lt;C12,"🟡 Por iniciar",IF(TODAY()&lt;=D12,"🟢 En proceso","🔴 Atrasado")))</f>
        <v>🟡 Por iniciar</v>
      </c>
    </row>
    <row r="13" spans="1:10" x14ac:dyDescent="0.35">
      <c r="A13" s="15" t="s">
        <v>243</v>
      </c>
      <c r="B13" s="15" t="s">
        <v>38</v>
      </c>
      <c r="C13" s="9">
        <v>46276</v>
      </c>
      <c r="D13" s="9">
        <v>46276</v>
      </c>
      <c r="E13" s="10">
        <f>NETWORKDAYS(C13,D13)</f>
        <v>1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243</v>
      </c>
      <c r="B14" s="8" t="s">
        <v>55</v>
      </c>
      <c r="C14" s="9">
        <v>46277</v>
      </c>
      <c r="D14" s="9">
        <v>46277</v>
      </c>
      <c r="E14" s="4">
        <f t="shared" si="0"/>
        <v>0</v>
      </c>
      <c r="F14" s="6" t="s">
        <v>13</v>
      </c>
      <c r="G14" s="4"/>
      <c r="H14" s="4"/>
      <c r="I14" s="7" t="str">
        <f t="shared" ca="1" si="1"/>
        <v>🟡 Por iniciar</v>
      </c>
    </row>
    <row r="15" spans="1:10" x14ac:dyDescent="0.35">
      <c r="A15" s="15" t="s">
        <v>243</v>
      </c>
      <c r="B15" s="8" t="s">
        <v>43</v>
      </c>
      <c r="C15" s="9">
        <v>46278</v>
      </c>
      <c r="D15" s="9">
        <v>46278</v>
      </c>
      <c r="E15" s="4">
        <f t="shared" si="0"/>
        <v>0</v>
      </c>
      <c r="F15" s="6" t="s">
        <v>13</v>
      </c>
      <c r="G15" s="4"/>
      <c r="H15" s="4"/>
      <c r="I15" s="7" t="str">
        <f t="shared" ca="1" si="1"/>
        <v>🟡 Por iniciar</v>
      </c>
    </row>
    <row r="16" spans="1:10" x14ac:dyDescent="0.35">
      <c r="A16" s="15" t="s">
        <v>243</v>
      </c>
      <c r="B16" s="8" t="s">
        <v>44</v>
      </c>
      <c r="C16" s="9">
        <v>46279</v>
      </c>
      <c r="D16" s="9">
        <v>46279</v>
      </c>
      <c r="E16" s="4">
        <f t="shared" si="0"/>
        <v>1</v>
      </c>
      <c r="F16" s="6" t="s">
        <v>13</v>
      </c>
      <c r="G16" s="4"/>
      <c r="H16" s="4"/>
      <c r="I16" s="7" t="str">
        <f t="shared" ca="1" si="1"/>
        <v>🟡 Por iniciar</v>
      </c>
    </row>
    <row r="19" spans="1:2" x14ac:dyDescent="0.35">
      <c r="A19" s="18" t="s">
        <v>56</v>
      </c>
      <c r="B19" s="17" t="s">
        <v>246</v>
      </c>
    </row>
    <row r="22" spans="1:2" x14ac:dyDescent="0.35">
      <c r="B22" t="s">
        <v>281</v>
      </c>
    </row>
    <row r="23" spans="1:2" x14ac:dyDescent="0.35">
      <c r="B23" t="s">
        <v>282</v>
      </c>
    </row>
  </sheetData>
  <phoneticPr fontId="6" type="noConversion"/>
  <conditionalFormatting sqref="C1 F1:F1048576">
    <cfRule type="containsText" dxfId="35" priority="1" operator="containsText" text="✅">
      <formula>NOT(ISERROR(SEARCH("✅",C1)))</formula>
    </cfRule>
  </conditionalFormatting>
  <conditionalFormatting sqref="C3:H16">
    <cfRule type="expression" dxfId="34" priority="2">
      <formula>$I3="🔴 Atrasado"</formula>
    </cfRule>
  </conditionalFormatting>
  <conditionalFormatting sqref="I1:I1048576">
    <cfRule type="containsText" dxfId="33" priority="4" operator="containsText" text="Completado">
      <formula>NOT(ISERROR(SEARCH("Completado",I1)))</formula>
    </cfRule>
    <cfRule type="containsText" dxfId="32" priority="5" operator="containsText" text="Atrasado">
      <formula>NOT(ISERROR(SEARCH("Atrasado",I1)))</formula>
    </cfRule>
    <cfRule type="containsText" dxfId="31" priority="6" operator="containsText" text="En proceso">
      <formula>NOT(ISERROR(SEARCH("En proceso",I1)))</formula>
    </cfRule>
    <cfRule type="containsText" dxfId="30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6" xr:uid="{304A3056-2D7B-4D33-A0A5-1273287B76FB}">
      <formula1>"✅,No,"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604A-5426-4BBE-BDDD-5328223750C8}">
  <dimension ref="A1:J24"/>
  <sheetViews>
    <sheetView workbookViewId="0">
      <selection activeCell="H21" sqref="H21"/>
    </sheetView>
  </sheetViews>
  <sheetFormatPr baseColWidth="10" defaultColWidth="8.81640625" defaultRowHeight="14.5" x14ac:dyDescent="0.35"/>
  <cols>
    <col min="1" max="1" width="19.81640625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37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248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248</v>
      </c>
      <c r="B3" s="15" t="s">
        <v>12</v>
      </c>
      <c r="C3" s="9">
        <v>46083</v>
      </c>
      <c r="D3" s="9">
        <v>46096</v>
      </c>
      <c r="E3" s="10">
        <f t="shared" ref="E3:E16" si="0">NETWORKDAYS(C3,D3)</f>
        <v>10</v>
      </c>
      <c r="F3" s="6" t="s">
        <v>11</v>
      </c>
      <c r="G3" s="4"/>
      <c r="H3" s="4"/>
      <c r="I3" s="7" t="str">
        <f t="shared" ref="I3:I16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248</v>
      </c>
      <c r="B4" s="15" t="s">
        <v>14</v>
      </c>
      <c r="C4" s="9">
        <v>46083</v>
      </c>
      <c r="D4" s="9">
        <v>46101</v>
      </c>
      <c r="E4" s="10">
        <f t="shared" si="0"/>
        <v>15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248</v>
      </c>
      <c r="B5" s="15" t="s">
        <v>15</v>
      </c>
      <c r="C5" s="9">
        <v>46101</v>
      </c>
      <c r="D5" s="9">
        <v>46102</v>
      </c>
      <c r="E5" s="10">
        <f t="shared" si="0"/>
        <v>1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248</v>
      </c>
      <c r="B6" s="15" t="s">
        <v>16</v>
      </c>
      <c r="C6" s="9">
        <v>46101</v>
      </c>
      <c r="D6" s="9">
        <v>46106</v>
      </c>
      <c r="E6" s="10">
        <f t="shared" si="0"/>
        <v>4</v>
      </c>
      <c r="F6" s="6" t="s">
        <v>13</v>
      </c>
      <c r="G6" s="4"/>
      <c r="H6" s="4"/>
      <c r="I6" s="7" t="str">
        <f t="shared" ca="1" si="1"/>
        <v>🔴 Atrasado</v>
      </c>
    </row>
    <row r="7" spans="1:10" x14ac:dyDescent="0.35">
      <c r="A7" s="15" t="s">
        <v>248</v>
      </c>
      <c r="B7" s="15" t="s">
        <v>46</v>
      </c>
      <c r="C7" s="9">
        <v>45946</v>
      </c>
      <c r="D7" s="9">
        <v>45946</v>
      </c>
      <c r="E7" s="10">
        <f t="shared" si="0"/>
        <v>1</v>
      </c>
      <c r="F7" s="6" t="s">
        <v>11</v>
      </c>
      <c r="G7" s="4"/>
      <c r="H7" s="4"/>
      <c r="I7" s="7" t="str">
        <f t="shared" ca="1" si="1"/>
        <v>✅ Completado</v>
      </c>
    </row>
    <row r="8" spans="1:10" x14ac:dyDescent="0.35">
      <c r="A8" s="15" t="s">
        <v>248</v>
      </c>
      <c r="B8" s="8" t="s">
        <v>18</v>
      </c>
      <c r="C8" s="9">
        <v>45946</v>
      </c>
      <c r="D8" s="9">
        <v>45946</v>
      </c>
      <c r="E8" s="10">
        <f t="shared" si="0"/>
        <v>1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0" x14ac:dyDescent="0.35">
      <c r="A9" s="15" t="s">
        <v>248</v>
      </c>
      <c r="B9" s="15" t="s">
        <v>249</v>
      </c>
      <c r="C9" s="9">
        <v>46106</v>
      </c>
      <c r="D9" s="9">
        <v>46106</v>
      </c>
      <c r="E9" s="10">
        <f t="shared" si="0"/>
        <v>1</v>
      </c>
      <c r="F9" s="6" t="s">
        <v>11</v>
      </c>
      <c r="G9" s="4"/>
      <c r="H9" s="4"/>
      <c r="I9" s="7" t="str">
        <f t="shared" ca="1" si="1"/>
        <v>✅ Completado</v>
      </c>
    </row>
    <row r="10" spans="1:10" x14ac:dyDescent="0.35">
      <c r="A10" s="15" t="s">
        <v>248</v>
      </c>
      <c r="B10" s="15" t="s">
        <v>250</v>
      </c>
      <c r="C10" s="9">
        <v>46107</v>
      </c>
      <c r="D10" s="9">
        <v>46107</v>
      </c>
      <c r="E10" s="10">
        <f t="shared" si="0"/>
        <v>1</v>
      </c>
      <c r="F10" s="6" t="s">
        <v>11</v>
      </c>
      <c r="G10" s="4"/>
      <c r="H10" s="4"/>
      <c r="I10" s="7" t="str">
        <f t="shared" ca="1" si="1"/>
        <v>✅ Completado</v>
      </c>
    </row>
    <row r="11" spans="1:10" x14ac:dyDescent="0.35">
      <c r="A11" s="15" t="s">
        <v>248</v>
      </c>
      <c r="B11" s="15" t="s">
        <v>251</v>
      </c>
      <c r="C11" s="9">
        <v>46135</v>
      </c>
      <c r="D11" s="9">
        <v>46135</v>
      </c>
      <c r="E11" s="10">
        <f t="shared" si="0"/>
        <v>1</v>
      </c>
      <c r="F11" s="6" t="s">
        <v>13</v>
      </c>
      <c r="G11" s="4"/>
      <c r="H11" s="4" t="s">
        <v>252</v>
      </c>
      <c r="I11" s="7" t="str">
        <f t="shared" ca="1" si="1"/>
        <v>🟡 Por iniciar</v>
      </c>
    </row>
    <row r="12" spans="1:10" x14ac:dyDescent="0.35">
      <c r="A12" s="15" t="s">
        <v>248</v>
      </c>
      <c r="B12" s="15" t="s">
        <v>247</v>
      </c>
      <c r="C12" s="9">
        <v>46150</v>
      </c>
      <c r="D12" s="9">
        <v>46152</v>
      </c>
      <c r="E12" s="10">
        <f>NETWORKDAYS(C12,D12)</f>
        <v>1</v>
      </c>
      <c r="F12" s="6" t="s">
        <v>13</v>
      </c>
      <c r="G12" s="4"/>
      <c r="H12" s="4" t="s">
        <v>294</v>
      </c>
      <c r="I12" s="7" t="str">
        <f ca="1">IF(F12="✅","✅ Completado",IF(TODAY()&lt;C12,"🟡 Por iniciar",IF(TODAY()&lt;=D12,"🟢 En proceso","🔴 Atrasado")))</f>
        <v>🟡 Por iniciar</v>
      </c>
    </row>
    <row r="13" spans="1:10" x14ac:dyDescent="0.35">
      <c r="A13" s="15" t="s">
        <v>248</v>
      </c>
      <c r="B13" s="15" t="s">
        <v>38</v>
      </c>
      <c r="C13" s="9">
        <v>46151</v>
      </c>
      <c r="D13" s="9">
        <v>46153</v>
      </c>
      <c r="E13" s="10">
        <f>NETWORKDAYS(C13,D13)</f>
        <v>1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248</v>
      </c>
      <c r="B14" s="8" t="s">
        <v>55</v>
      </c>
      <c r="C14" s="9">
        <v>46152</v>
      </c>
      <c r="D14" s="9">
        <v>46154</v>
      </c>
      <c r="E14" s="4">
        <f t="shared" si="0"/>
        <v>2</v>
      </c>
      <c r="F14" s="6" t="s">
        <v>13</v>
      </c>
      <c r="G14" s="4"/>
      <c r="H14" s="4"/>
      <c r="I14" s="7" t="str">
        <f t="shared" ca="1" si="1"/>
        <v>🟡 Por iniciar</v>
      </c>
    </row>
    <row r="15" spans="1:10" x14ac:dyDescent="0.35">
      <c r="A15" s="15" t="s">
        <v>248</v>
      </c>
      <c r="B15" s="8" t="s">
        <v>43</v>
      </c>
      <c r="C15" s="9">
        <v>46153</v>
      </c>
      <c r="D15" s="9">
        <v>46155</v>
      </c>
      <c r="E15" s="4">
        <f t="shared" si="0"/>
        <v>3</v>
      </c>
      <c r="F15" s="6" t="s">
        <v>13</v>
      </c>
      <c r="G15" s="4"/>
      <c r="H15" s="4"/>
      <c r="I15" s="7" t="str">
        <f t="shared" ca="1" si="1"/>
        <v>🟡 Por iniciar</v>
      </c>
    </row>
    <row r="16" spans="1:10" x14ac:dyDescent="0.35">
      <c r="A16" s="15" t="s">
        <v>248</v>
      </c>
      <c r="B16" s="8" t="s">
        <v>44</v>
      </c>
      <c r="C16" s="9">
        <v>46154</v>
      </c>
      <c r="D16" s="9">
        <v>46156</v>
      </c>
      <c r="E16" s="4">
        <f t="shared" si="0"/>
        <v>3</v>
      </c>
      <c r="F16" s="6" t="s">
        <v>13</v>
      </c>
      <c r="G16" s="4"/>
      <c r="H16" s="4"/>
      <c r="I16" s="7" t="str">
        <f t="shared" ca="1" si="1"/>
        <v>🟡 Por iniciar</v>
      </c>
    </row>
    <row r="19" spans="1:2" x14ac:dyDescent="0.35">
      <c r="A19" s="18" t="s">
        <v>56</v>
      </c>
      <c r="B19" s="17" t="s">
        <v>253</v>
      </c>
    </row>
    <row r="22" spans="1:2" x14ac:dyDescent="0.35">
      <c r="B22" t="s">
        <v>254</v>
      </c>
    </row>
    <row r="24" spans="1:2" x14ac:dyDescent="0.35">
      <c r="B24" s="19"/>
    </row>
  </sheetData>
  <phoneticPr fontId="6" type="noConversion"/>
  <conditionalFormatting sqref="C1 F1:F1048576">
    <cfRule type="containsText" dxfId="29" priority="1" operator="containsText" text="✅">
      <formula>NOT(ISERROR(SEARCH("✅",C1)))</formula>
    </cfRule>
  </conditionalFormatting>
  <conditionalFormatting sqref="C3:H16">
    <cfRule type="expression" dxfId="28" priority="2">
      <formula>$I3="🔴 Atrasado"</formula>
    </cfRule>
  </conditionalFormatting>
  <conditionalFormatting sqref="I1:I1048576">
    <cfRule type="containsText" dxfId="27" priority="4" operator="containsText" text="Completado">
      <formula>NOT(ISERROR(SEARCH("Completado",I1)))</formula>
    </cfRule>
    <cfRule type="containsText" dxfId="26" priority="5" operator="containsText" text="Atrasado">
      <formula>NOT(ISERROR(SEARCH("Atrasado",I1)))</formula>
    </cfRule>
    <cfRule type="containsText" dxfId="25" priority="6" operator="containsText" text="En proceso">
      <formula>NOT(ISERROR(SEARCH("En proceso",I1)))</formula>
    </cfRule>
    <cfRule type="containsText" dxfId="24" priority="7" operator="containsText" text="Por iniciar">
      <formula>NOT(ISERROR(SEARCH("Por iniciar",I1)))</formula>
    </cfRule>
  </conditionalFormatting>
  <dataValidations count="1">
    <dataValidation type="list" showInputMessage="1" showErrorMessage="1" sqref="F3:F16" xr:uid="{FBCB016B-2398-48FA-AC51-EB7D14E8E089}">
      <formula1>"✅,No,"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B0AB-768C-41CB-B220-854EA38AC9BF}">
  <dimension ref="A1:J24"/>
  <sheetViews>
    <sheetView workbookViewId="0">
      <selection activeCell="G23" sqref="G23"/>
    </sheetView>
  </sheetViews>
  <sheetFormatPr baseColWidth="10" defaultColWidth="8.81640625" defaultRowHeight="14.5" x14ac:dyDescent="0.35"/>
  <cols>
    <col min="1" max="1" width="28.81640625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37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255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255</v>
      </c>
      <c r="B3" s="15" t="s">
        <v>12</v>
      </c>
      <c r="C3" s="9">
        <v>46083</v>
      </c>
      <c r="D3" s="9">
        <v>46096</v>
      </c>
      <c r="E3" s="10">
        <f t="shared" ref="E3:E15" si="0">NETWORKDAYS(C3,D3)</f>
        <v>10</v>
      </c>
      <c r="F3" s="6" t="s">
        <v>11</v>
      </c>
      <c r="G3" s="4"/>
      <c r="H3" s="4"/>
      <c r="I3" s="7" t="str">
        <f t="shared" ref="I3:I15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255</v>
      </c>
      <c r="B4" s="15" t="s">
        <v>14</v>
      </c>
      <c r="C4" s="9">
        <v>46083</v>
      </c>
      <c r="D4" s="9">
        <v>46101</v>
      </c>
      <c r="E4" s="10">
        <f t="shared" si="0"/>
        <v>15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255</v>
      </c>
      <c r="B5" s="15" t="s">
        <v>15</v>
      </c>
      <c r="C5" s="9">
        <v>46142</v>
      </c>
      <c r="D5" s="9">
        <v>46142</v>
      </c>
      <c r="E5" s="10">
        <f t="shared" si="0"/>
        <v>1</v>
      </c>
      <c r="F5" s="6" t="s">
        <v>13</v>
      </c>
      <c r="G5" s="4"/>
      <c r="H5" s="4"/>
      <c r="I5" s="7" t="str">
        <f t="shared" ca="1" si="1"/>
        <v>🟡 Por iniciar</v>
      </c>
    </row>
    <row r="6" spans="1:10" x14ac:dyDescent="0.35">
      <c r="A6" s="15" t="s">
        <v>255</v>
      </c>
      <c r="B6" s="15" t="s">
        <v>16</v>
      </c>
      <c r="C6" s="9">
        <v>46142</v>
      </c>
      <c r="D6" s="9">
        <v>46150</v>
      </c>
      <c r="E6" s="10">
        <f t="shared" si="0"/>
        <v>7</v>
      </c>
      <c r="F6" s="6" t="s">
        <v>13</v>
      </c>
      <c r="G6" s="4"/>
      <c r="H6" s="4"/>
      <c r="I6" s="7" t="str">
        <f t="shared" ca="1" si="1"/>
        <v>🟡 Por iniciar</v>
      </c>
    </row>
    <row r="7" spans="1:10" x14ac:dyDescent="0.35">
      <c r="A7" s="15" t="s">
        <v>255</v>
      </c>
      <c r="B7" s="15" t="s">
        <v>46</v>
      </c>
      <c r="C7" s="9">
        <v>46154</v>
      </c>
      <c r="D7" s="9">
        <v>46154</v>
      </c>
      <c r="E7" s="10">
        <f t="shared" si="0"/>
        <v>1</v>
      </c>
      <c r="F7" s="6" t="s">
        <v>13</v>
      </c>
      <c r="G7" s="4"/>
      <c r="H7" s="4"/>
      <c r="I7" s="7" t="str">
        <f t="shared" ca="1" si="1"/>
        <v>🟡 Por iniciar</v>
      </c>
    </row>
    <row r="8" spans="1:10" x14ac:dyDescent="0.35">
      <c r="A8" s="15" t="s">
        <v>255</v>
      </c>
      <c r="B8" s="8" t="s">
        <v>18</v>
      </c>
      <c r="C8" s="9">
        <v>46154</v>
      </c>
      <c r="D8" s="9">
        <v>46154</v>
      </c>
      <c r="E8" s="10">
        <f t="shared" si="0"/>
        <v>1</v>
      </c>
      <c r="F8" s="6" t="s">
        <v>13</v>
      </c>
      <c r="G8" s="4"/>
      <c r="H8" s="4"/>
      <c r="I8" s="7" t="str">
        <f t="shared" ca="1" si="1"/>
        <v>🟡 Por iniciar</v>
      </c>
      <c r="J8" t="s">
        <v>47</v>
      </c>
    </row>
    <row r="9" spans="1:10" x14ac:dyDescent="0.35">
      <c r="A9" s="15" t="s">
        <v>255</v>
      </c>
      <c r="B9" s="15" t="s">
        <v>249</v>
      </c>
      <c r="C9" s="9">
        <v>46203</v>
      </c>
      <c r="D9" s="9">
        <v>46203</v>
      </c>
      <c r="E9" s="10">
        <f t="shared" si="0"/>
        <v>1</v>
      </c>
      <c r="F9" s="6" t="s">
        <v>13</v>
      </c>
      <c r="G9" s="4"/>
      <c r="H9" s="4"/>
      <c r="I9" s="7" t="str">
        <f t="shared" ca="1" si="1"/>
        <v>🟡 Por iniciar</v>
      </c>
    </row>
    <row r="10" spans="1:10" x14ac:dyDescent="0.35">
      <c r="A10" s="15" t="s">
        <v>255</v>
      </c>
      <c r="B10" s="15" t="s">
        <v>245</v>
      </c>
      <c r="C10" s="9">
        <v>46253</v>
      </c>
      <c r="D10" s="9">
        <v>46253</v>
      </c>
      <c r="E10" s="10">
        <f t="shared" si="0"/>
        <v>1</v>
      </c>
      <c r="F10" s="6" t="s">
        <v>13</v>
      </c>
      <c r="G10" s="4"/>
      <c r="H10" s="4"/>
      <c r="I10" s="7" t="str">
        <f t="shared" ca="1" si="1"/>
        <v>🟡 Por iniciar</v>
      </c>
    </row>
    <row r="11" spans="1:10" x14ac:dyDescent="0.35">
      <c r="A11" s="15" t="s">
        <v>255</v>
      </c>
      <c r="B11" s="15" t="s">
        <v>256</v>
      </c>
      <c r="C11" s="9">
        <v>46296</v>
      </c>
      <c r="D11" s="9">
        <v>46325</v>
      </c>
      <c r="E11" s="10">
        <f>NETWORKDAYS(C11,D11)</f>
        <v>22</v>
      </c>
      <c r="F11" s="6" t="s">
        <v>13</v>
      </c>
      <c r="G11" s="4"/>
      <c r="H11" s="4" t="s">
        <v>257</v>
      </c>
      <c r="I11" s="7" t="str">
        <f ca="1">IF(F11="✅","✅ Completado",IF(TODAY()&lt;C11,"🟡 Por iniciar",IF(TODAY()&lt;=D11,"🟢 En proceso","🔴 Atrasado")))</f>
        <v>🟡 Por iniciar</v>
      </c>
    </row>
    <row r="12" spans="1:10" x14ac:dyDescent="0.35">
      <c r="A12" s="15" t="s">
        <v>255</v>
      </c>
      <c r="B12" s="15" t="s">
        <v>38</v>
      </c>
      <c r="C12" s="9">
        <v>46329</v>
      </c>
      <c r="D12" s="9">
        <v>46329</v>
      </c>
      <c r="E12" s="10">
        <f>NETWORKDAYS(C12,D12)</f>
        <v>1</v>
      </c>
      <c r="F12" s="6" t="s">
        <v>13</v>
      </c>
      <c r="G12" s="4"/>
      <c r="H12" s="4"/>
      <c r="I12" s="7" t="str">
        <f t="shared" ca="1" si="1"/>
        <v>🟡 Por iniciar</v>
      </c>
    </row>
    <row r="13" spans="1:10" x14ac:dyDescent="0.35">
      <c r="A13" s="15" t="s">
        <v>255</v>
      </c>
      <c r="B13" s="8" t="s">
        <v>55</v>
      </c>
      <c r="C13" s="9">
        <v>46330</v>
      </c>
      <c r="D13" s="9">
        <v>46330</v>
      </c>
      <c r="E13" s="4">
        <f t="shared" si="0"/>
        <v>1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255</v>
      </c>
      <c r="B14" s="8" t="s">
        <v>43</v>
      </c>
      <c r="C14" s="9">
        <v>46331</v>
      </c>
      <c r="D14" s="9">
        <v>46331</v>
      </c>
      <c r="E14" s="4">
        <f t="shared" si="0"/>
        <v>1</v>
      </c>
      <c r="F14" s="6" t="s">
        <v>13</v>
      </c>
      <c r="G14" s="4"/>
      <c r="H14" s="4"/>
      <c r="I14" s="7" t="str">
        <f t="shared" ca="1" si="1"/>
        <v>🟡 Por iniciar</v>
      </c>
    </row>
    <row r="15" spans="1:10" x14ac:dyDescent="0.35">
      <c r="A15" s="15" t="s">
        <v>255</v>
      </c>
      <c r="B15" s="8" t="s">
        <v>44</v>
      </c>
      <c r="C15" s="9">
        <v>46332</v>
      </c>
      <c r="D15" s="9">
        <v>46332</v>
      </c>
      <c r="E15" s="4">
        <f t="shared" si="0"/>
        <v>1</v>
      </c>
      <c r="F15" s="6" t="s">
        <v>13</v>
      </c>
      <c r="G15" s="4"/>
      <c r="H15" s="4"/>
      <c r="I15" s="7" t="str">
        <f t="shared" ca="1" si="1"/>
        <v>🟡 Por iniciar</v>
      </c>
    </row>
    <row r="18" spans="1:2" x14ac:dyDescent="0.35">
      <c r="A18" s="18" t="s">
        <v>56</v>
      </c>
      <c r="B18" s="17" t="s">
        <v>258</v>
      </c>
    </row>
    <row r="21" spans="1:2" x14ac:dyDescent="0.35">
      <c r="B21" s="19" t="s">
        <v>259</v>
      </c>
    </row>
    <row r="23" spans="1:2" x14ac:dyDescent="0.35">
      <c r="A23" t="s">
        <v>260</v>
      </c>
      <c r="B23" s="17" t="s">
        <v>261</v>
      </c>
    </row>
    <row r="24" spans="1:2" x14ac:dyDescent="0.35">
      <c r="A24" t="s">
        <v>262</v>
      </c>
      <c r="B24" t="s">
        <v>263</v>
      </c>
    </row>
  </sheetData>
  <phoneticPr fontId="6" type="noConversion"/>
  <conditionalFormatting sqref="C1 F1:F1048576">
    <cfRule type="containsText" dxfId="23" priority="1" operator="containsText" text="✅">
      <formula>NOT(ISERROR(SEARCH("✅",C1)))</formula>
    </cfRule>
  </conditionalFormatting>
  <conditionalFormatting sqref="C3:H15">
    <cfRule type="expression" dxfId="22" priority="2">
      <formula>$I3="🔴 Atrasado"</formula>
    </cfRule>
  </conditionalFormatting>
  <conditionalFormatting sqref="I1:I1048576">
    <cfRule type="containsText" dxfId="21" priority="3" operator="containsText" text="Completado">
      <formula>NOT(ISERROR(SEARCH("Completado",I1)))</formula>
    </cfRule>
    <cfRule type="containsText" dxfId="20" priority="4" operator="containsText" text="Atrasado">
      <formula>NOT(ISERROR(SEARCH("Atrasado",I1)))</formula>
    </cfRule>
    <cfRule type="containsText" dxfId="19" priority="5" operator="containsText" text="En proceso">
      <formula>NOT(ISERROR(SEARCH("En proceso",I1)))</formula>
    </cfRule>
    <cfRule type="containsText" dxfId="18" priority="6" operator="containsText" text="Por iniciar">
      <formula>NOT(ISERROR(SEARCH("Por iniciar",I1)))</formula>
    </cfRule>
  </conditionalFormatting>
  <dataValidations count="1">
    <dataValidation type="list" showInputMessage="1" showErrorMessage="1" sqref="F3:F15" xr:uid="{6DA8CBA4-3CA7-45A8-8077-0565C2FD8AF5}">
      <formula1>"✅,No,"</formula1>
    </dataValidation>
  </dataValidations>
  <hyperlinks>
    <hyperlink ref="B21" r:id="rId1" display="../../../../../../../:x:/g/personal/paulina_oliveros_ibero_mx/IQBHd3mlZzKrRq7PWX2BKtOwARXSrUCbD0h4R0Am_9bTglU?email=silviajosefinagonzalezmartinez%40gmail.com&amp;e=Eq1NHM" xr:uid="{41F3CD5B-89C8-47A7-890F-F24DEFA4BAED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B296-04CA-42FC-820C-BED815C4FA0D}">
  <dimension ref="A1:J21"/>
  <sheetViews>
    <sheetView workbookViewId="0">
      <selection activeCell="E27" sqref="E27"/>
    </sheetView>
  </sheetViews>
  <sheetFormatPr baseColWidth="10" defaultColWidth="8.81640625" defaultRowHeight="14.5" x14ac:dyDescent="0.35"/>
  <cols>
    <col min="1" max="1" width="28.81640625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37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290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290</v>
      </c>
      <c r="B3" s="15" t="s">
        <v>12</v>
      </c>
      <c r="C3" s="9">
        <v>46083</v>
      </c>
      <c r="D3" s="9">
        <v>46096</v>
      </c>
      <c r="E3" s="10">
        <f t="shared" ref="E3:E16" si="0">NETWORKDAYS(C3,D3)</f>
        <v>10</v>
      </c>
      <c r="F3" s="6" t="s">
        <v>11</v>
      </c>
      <c r="G3" s="4"/>
      <c r="H3" s="4"/>
      <c r="I3" s="7" t="str">
        <f t="shared" ref="I3:I16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290</v>
      </c>
      <c r="B4" s="15" t="s">
        <v>14</v>
      </c>
      <c r="C4" s="9">
        <v>46083</v>
      </c>
      <c r="D4" s="9">
        <v>46101</v>
      </c>
      <c r="E4" s="10">
        <f t="shared" si="0"/>
        <v>15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290</v>
      </c>
      <c r="B5" s="15" t="s">
        <v>15</v>
      </c>
      <c r="C5" s="9">
        <v>46113</v>
      </c>
      <c r="D5" s="9">
        <v>46117</v>
      </c>
      <c r="E5" s="10">
        <f t="shared" si="0"/>
        <v>3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290</v>
      </c>
      <c r="B6" s="15" t="s">
        <v>16</v>
      </c>
      <c r="C6" s="9">
        <v>46113</v>
      </c>
      <c r="D6" s="9">
        <v>46127</v>
      </c>
      <c r="E6" s="10">
        <f t="shared" si="0"/>
        <v>11</v>
      </c>
      <c r="F6" s="6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290</v>
      </c>
      <c r="B7" s="15" t="s">
        <v>46</v>
      </c>
      <c r="C7" s="9">
        <v>46127</v>
      </c>
      <c r="D7" s="9">
        <v>46127</v>
      </c>
      <c r="E7" s="10">
        <f t="shared" si="0"/>
        <v>1</v>
      </c>
      <c r="F7" s="6" t="s">
        <v>11</v>
      </c>
      <c r="G7" s="4"/>
      <c r="H7" s="4"/>
      <c r="I7" s="7" t="str">
        <f t="shared" ca="1" si="1"/>
        <v>✅ Completado</v>
      </c>
    </row>
    <row r="8" spans="1:10" x14ac:dyDescent="0.35">
      <c r="A8" s="15" t="s">
        <v>290</v>
      </c>
      <c r="B8" s="8" t="s">
        <v>18</v>
      </c>
      <c r="C8" s="9">
        <v>46127</v>
      </c>
      <c r="D8" s="9">
        <v>46127</v>
      </c>
      <c r="E8" s="10">
        <f t="shared" si="0"/>
        <v>1</v>
      </c>
      <c r="F8" s="6" t="s">
        <v>11</v>
      </c>
      <c r="G8" s="4"/>
      <c r="H8" s="4"/>
      <c r="I8" s="7" t="str">
        <f t="shared" ca="1" si="1"/>
        <v>✅ Completado</v>
      </c>
      <c r="J8" t="s">
        <v>47</v>
      </c>
    </row>
    <row r="9" spans="1:10" x14ac:dyDescent="0.35">
      <c r="A9" s="15" t="s">
        <v>290</v>
      </c>
      <c r="B9" s="15" t="s">
        <v>249</v>
      </c>
      <c r="C9" s="9">
        <v>46127</v>
      </c>
      <c r="D9" s="9">
        <v>46127</v>
      </c>
      <c r="E9" s="10">
        <f t="shared" si="0"/>
        <v>1</v>
      </c>
      <c r="F9" s="6" t="s">
        <v>11</v>
      </c>
      <c r="G9" s="4"/>
      <c r="H9" s="4"/>
      <c r="I9" s="7" t="str">
        <f t="shared" ca="1" si="1"/>
        <v>✅ Completado</v>
      </c>
    </row>
    <row r="10" spans="1:10" x14ac:dyDescent="0.35">
      <c r="A10" s="15" t="s">
        <v>290</v>
      </c>
      <c r="B10" s="15" t="s">
        <v>245</v>
      </c>
      <c r="C10" s="9">
        <v>46157</v>
      </c>
      <c r="D10" s="9">
        <v>46157</v>
      </c>
      <c r="E10" s="10">
        <f t="shared" ref="E10" si="2">NETWORKDAYS(C10,D10)</f>
        <v>1</v>
      </c>
      <c r="F10" s="6" t="s">
        <v>13</v>
      </c>
      <c r="G10" s="4"/>
      <c r="H10" s="4"/>
      <c r="I10" s="7" t="str">
        <f t="shared" ref="I10" ca="1" si="3">IF(F10="✅","✅ Completado",IF(TODAY()&lt;C10,"🟡 Por iniciar",IF(TODAY()&lt;=D10,"🟢 En proceso","🔴 Atrasado")))</f>
        <v>🟡 Por iniciar</v>
      </c>
    </row>
    <row r="11" spans="1:10" x14ac:dyDescent="0.35">
      <c r="A11" s="15" t="s">
        <v>290</v>
      </c>
      <c r="B11" s="15" t="s">
        <v>292</v>
      </c>
      <c r="C11" s="9">
        <v>46215</v>
      </c>
      <c r="D11" s="9">
        <v>46218</v>
      </c>
      <c r="E11" s="10">
        <f t="shared" ref="E11" si="4">NETWORKDAYS(C11,D11)</f>
        <v>3</v>
      </c>
      <c r="F11" s="6" t="s">
        <v>13</v>
      </c>
      <c r="G11" s="4"/>
      <c r="H11" s="4"/>
      <c r="I11" s="7" t="str">
        <f t="shared" ref="I11" ca="1" si="5">IF(F11="✅","✅ Completado",IF(TODAY()&lt;C11,"🟡 Por iniciar",IF(TODAY()&lt;=D11,"🟢 En proceso","🔴 Atrasado")))</f>
        <v>🟡 Por iniciar</v>
      </c>
    </row>
    <row r="12" spans="1:10" x14ac:dyDescent="0.35">
      <c r="A12" s="15" t="s">
        <v>290</v>
      </c>
      <c r="B12" s="15" t="s">
        <v>247</v>
      </c>
      <c r="C12" s="9">
        <v>46218</v>
      </c>
      <c r="D12" s="9">
        <v>46218</v>
      </c>
      <c r="E12" s="10">
        <f t="shared" si="0"/>
        <v>1</v>
      </c>
      <c r="F12" s="6" t="s">
        <v>13</v>
      </c>
      <c r="G12" s="4"/>
      <c r="H12" s="4"/>
      <c r="I12" s="7" t="str">
        <f t="shared" ca="1" si="1"/>
        <v>🟡 Por iniciar</v>
      </c>
    </row>
    <row r="13" spans="1:10" x14ac:dyDescent="0.35">
      <c r="A13" s="15" t="s">
        <v>290</v>
      </c>
      <c r="B13" s="15" t="s">
        <v>38</v>
      </c>
      <c r="C13" s="9">
        <v>46244</v>
      </c>
      <c r="D13" s="9">
        <v>46248</v>
      </c>
      <c r="E13" s="10">
        <f>NETWORKDAYS(C13,D13)</f>
        <v>5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290</v>
      </c>
      <c r="B14" s="8" t="s">
        <v>55</v>
      </c>
      <c r="C14" s="9">
        <v>46245</v>
      </c>
      <c r="D14" s="9">
        <v>46249</v>
      </c>
      <c r="E14" s="4">
        <f t="shared" si="0"/>
        <v>4</v>
      </c>
      <c r="F14" s="6" t="s">
        <v>13</v>
      </c>
      <c r="G14" s="4"/>
      <c r="H14" s="4"/>
      <c r="I14" s="7" t="str">
        <f t="shared" ca="1" si="1"/>
        <v>🟡 Por iniciar</v>
      </c>
    </row>
    <row r="15" spans="1:10" x14ac:dyDescent="0.35">
      <c r="A15" s="15" t="s">
        <v>290</v>
      </c>
      <c r="B15" s="8" t="s">
        <v>43</v>
      </c>
      <c r="C15" s="9">
        <v>46246</v>
      </c>
      <c r="D15" s="9">
        <v>46250</v>
      </c>
      <c r="E15" s="4">
        <f t="shared" si="0"/>
        <v>3</v>
      </c>
      <c r="F15" s="6" t="s">
        <v>13</v>
      </c>
      <c r="G15" s="4"/>
      <c r="H15" s="4"/>
      <c r="I15" s="7" t="str">
        <f t="shared" ca="1" si="1"/>
        <v>🟡 Por iniciar</v>
      </c>
    </row>
    <row r="16" spans="1:10" x14ac:dyDescent="0.35">
      <c r="A16" s="15" t="s">
        <v>290</v>
      </c>
      <c r="B16" s="8" t="s">
        <v>44</v>
      </c>
      <c r="C16" s="9">
        <v>46247</v>
      </c>
      <c r="D16" s="9">
        <v>46251</v>
      </c>
      <c r="E16" s="4">
        <f t="shared" si="0"/>
        <v>3</v>
      </c>
      <c r="F16" s="6" t="s">
        <v>13</v>
      </c>
      <c r="G16" s="4"/>
      <c r="H16" s="4"/>
      <c r="I16" s="7" t="str">
        <f t="shared" ca="1" si="1"/>
        <v>🟡 Por iniciar</v>
      </c>
    </row>
    <row r="19" spans="1:2" x14ac:dyDescent="0.35">
      <c r="A19" s="18" t="s">
        <v>56</v>
      </c>
      <c r="B19" s="17" t="s">
        <v>291</v>
      </c>
    </row>
    <row r="21" spans="1:2" x14ac:dyDescent="0.35">
      <c r="B21" t="s">
        <v>293</v>
      </c>
    </row>
  </sheetData>
  <phoneticPr fontId="6" type="noConversion"/>
  <conditionalFormatting sqref="C1 F1:F1048576">
    <cfRule type="containsText" dxfId="17" priority="1" operator="containsText" text="✅">
      <formula>NOT(ISERROR(SEARCH("✅",C1)))</formula>
    </cfRule>
  </conditionalFormatting>
  <conditionalFormatting sqref="C3:H16">
    <cfRule type="expression" dxfId="16" priority="2">
      <formula>$I3="🔴 Atrasado"</formula>
    </cfRule>
  </conditionalFormatting>
  <conditionalFormatting sqref="I1:I1048576">
    <cfRule type="containsText" dxfId="15" priority="3" operator="containsText" text="Completado">
      <formula>NOT(ISERROR(SEARCH("Completado",I1)))</formula>
    </cfRule>
    <cfRule type="containsText" dxfId="14" priority="4" operator="containsText" text="Atrasado">
      <formula>NOT(ISERROR(SEARCH("Atrasado",I1)))</formula>
    </cfRule>
    <cfRule type="containsText" dxfId="13" priority="5" operator="containsText" text="En proceso">
      <formula>NOT(ISERROR(SEARCH("En proceso",I1)))</formula>
    </cfRule>
    <cfRule type="containsText" dxfId="12" priority="6" operator="containsText" text="Por iniciar">
      <formula>NOT(ISERROR(SEARCH("Por iniciar",I1)))</formula>
    </cfRule>
  </conditionalFormatting>
  <dataValidations count="1">
    <dataValidation type="list" showInputMessage="1" showErrorMessage="1" sqref="F3:F16" xr:uid="{92CE28D9-E657-48F6-A1A8-378EC7470502}">
      <formula1>"✅,No,"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F55A-0080-40FF-A160-F4355F9B5EC4}">
  <dimension ref="A1:J29"/>
  <sheetViews>
    <sheetView workbookViewId="0">
      <selection activeCell="F6" sqref="F6"/>
    </sheetView>
  </sheetViews>
  <sheetFormatPr baseColWidth="10" defaultColWidth="8.81640625" defaultRowHeight="14.5" x14ac:dyDescent="0.35"/>
  <cols>
    <col min="1" max="1" width="28.81640625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37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264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264</v>
      </c>
      <c r="B3" s="15" t="s">
        <v>12</v>
      </c>
      <c r="C3" s="9">
        <v>46104</v>
      </c>
      <c r="D3" s="9">
        <v>46108</v>
      </c>
      <c r="E3" s="10">
        <f t="shared" ref="E3:E22" si="0">NETWORKDAYS(C3,D3)</f>
        <v>5</v>
      </c>
      <c r="F3" s="6" t="s">
        <v>11</v>
      </c>
      <c r="G3" s="4"/>
      <c r="H3" s="4"/>
      <c r="I3" s="7" t="str">
        <f t="shared" ref="I3:I22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264</v>
      </c>
      <c r="B4" s="15" t="s">
        <v>14</v>
      </c>
      <c r="C4" s="9">
        <v>46104</v>
      </c>
      <c r="D4" s="9">
        <v>46108</v>
      </c>
      <c r="E4" s="10">
        <f t="shared" si="0"/>
        <v>5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264</v>
      </c>
      <c r="B5" s="15" t="s">
        <v>15</v>
      </c>
      <c r="C5" s="9">
        <v>46118</v>
      </c>
      <c r="D5" s="9">
        <v>46122</v>
      </c>
      <c r="E5" s="10">
        <f t="shared" si="0"/>
        <v>5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264</v>
      </c>
      <c r="B6" s="15" t="s">
        <v>16</v>
      </c>
      <c r="C6" s="9">
        <v>46122</v>
      </c>
      <c r="D6" s="9">
        <v>46132</v>
      </c>
      <c r="E6" s="10">
        <f t="shared" si="0"/>
        <v>7</v>
      </c>
      <c r="F6" s="6" t="s">
        <v>13</v>
      </c>
      <c r="G6" s="4"/>
      <c r="H6" s="4"/>
      <c r="I6" s="7" t="str">
        <f t="shared" ca="1" si="1"/>
        <v>🟢 En proceso</v>
      </c>
    </row>
    <row r="7" spans="1:10" x14ac:dyDescent="0.35">
      <c r="A7" s="15" t="s">
        <v>264</v>
      </c>
      <c r="B7" s="15" t="s">
        <v>265</v>
      </c>
      <c r="C7" s="9">
        <v>46118</v>
      </c>
      <c r="D7" s="9">
        <v>46142</v>
      </c>
      <c r="E7" s="10">
        <f t="shared" ref="E7:E14" si="2">NETWORKDAYS(C7,D7)</f>
        <v>19</v>
      </c>
      <c r="F7" s="6" t="s">
        <v>13</v>
      </c>
      <c r="G7" s="4"/>
      <c r="H7" s="4"/>
      <c r="I7" s="7" t="str">
        <f t="shared" ref="I7:I14" ca="1" si="3">IF(F7="✅","✅ Completado",IF(TODAY()&lt;C7,"🟡 Por iniciar",IF(TODAY()&lt;=D7,"🟢 En proceso","🔴 Atrasado")))</f>
        <v>🟢 En proceso</v>
      </c>
    </row>
    <row r="8" spans="1:10" x14ac:dyDescent="0.35">
      <c r="A8" s="15" t="s">
        <v>264</v>
      </c>
      <c r="B8" s="15" t="s">
        <v>283</v>
      </c>
      <c r="C8" s="9">
        <v>46127</v>
      </c>
      <c r="D8" s="9">
        <v>46142</v>
      </c>
      <c r="E8" s="10">
        <f t="shared" ref="E8" si="4">NETWORKDAYS(C8,D8)</f>
        <v>12</v>
      </c>
      <c r="F8" s="6" t="s">
        <v>13</v>
      </c>
      <c r="G8" s="4"/>
      <c r="H8" s="4"/>
      <c r="I8" s="7" t="str">
        <f t="shared" ref="I8" ca="1" si="5">IF(F8="✅","✅ Completado",IF(TODAY()&lt;C8,"🟡 Por iniciar",IF(TODAY()&lt;=D8,"🟢 En proceso","🔴 Atrasado")))</f>
        <v>🟢 En proceso</v>
      </c>
    </row>
    <row r="9" spans="1:10" x14ac:dyDescent="0.35">
      <c r="A9" s="15" t="s">
        <v>264</v>
      </c>
      <c r="B9" s="15" t="s">
        <v>46</v>
      </c>
      <c r="C9" s="9">
        <v>46127</v>
      </c>
      <c r="D9" s="9">
        <v>46142</v>
      </c>
      <c r="E9" s="10">
        <f t="shared" si="2"/>
        <v>12</v>
      </c>
      <c r="F9" s="6" t="s">
        <v>13</v>
      </c>
      <c r="G9" s="4"/>
      <c r="H9" s="4"/>
      <c r="I9" s="7" t="str">
        <f t="shared" ca="1" si="3"/>
        <v>🟢 En proceso</v>
      </c>
    </row>
    <row r="10" spans="1:10" x14ac:dyDescent="0.35">
      <c r="A10" s="15" t="s">
        <v>264</v>
      </c>
      <c r="B10" s="15" t="s">
        <v>266</v>
      </c>
      <c r="C10" s="9">
        <v>46127</v>
      </c>
      <c r="D10" s="9">
        <v>46142</v>
      </c>
      <c r="E10" s="10">
        <f t="shared" si="2"/>
        <v>12</v>
      </c>
      <c r="F10" s="6" t="s">
        <v>13</v>
      </c>
      <c r="G10" s="4"/>
      <c r="H10" s="4"/>
      <c r="I10" s="7" t="str">
        <f t="shared" ca="1" si="3"/>
        <v>🟢 En proceso</v>
      </c>
    </row>
    <row r="11" spans="1:10" x14ac:dyDescent="0.35">
      <c r="A11" s="15" t="s">
        <v>264</v>
      </c>
      <c r="B11" s="8" t="s">
        <v>18</v>
      </c>
      <c r="C11" s="9">
        <v>46127</v>
      </c>
      <c r="D11" s="9">
        <v>46142</v>
      </c>
      <c r="E11" s="10">
        <f t="shared" si="2"/>
        <v>12</v>
      </c>
      <c r="F11" s="6" t="s">
        <v>13</v>
      </c>
      <c r="G11" s="4"/>
      <c r="H11" s="4"/>
      <c r="I11" s="7" t="str">
        <f t="shared" ca="1" si="3"/>
        <v>🟢 En proceso</v>
      </c>
      <c r="J11" t="s">
        <v>47</v>
      </c>
    </row>
    <row r="12" spans="1:10" x14ac:dyDescent="0.35">
      <c r="A12" s="15" t="s">
        <v>264</v>
      </c>
      <c r="B12" s="15" t="s">
        <v>249</v>
      </c>
      <c r="C12" s="9">
        <v>46152</v>
      </c>
      <c r="D12" s="9">
        <v>46152</v>
      </c>
      <c r="E12" s="10">
        <f t="shared" si="2"/>
        <v>0</v>
      </c>
      <c r="F12" s="6" t="s">
        <v>13</v>
      </c>
      <c r="G12" s="4"/>
      <c r="H12" s="4"/>
      <c r="I12" s="7" t="str">
        <f t="shared" ca="1" si="3"/>
        <v>🟡 Por iniciar</v>
      </c>
    </row>
    <row r="13" spans="1:10" x14ac:dyDescent="0.35">
      <c r="A13" s="15" t="s">
        <v>264</v>
      </c>
      <c r="B13" s="15" t="s">
        <v>267</v>
      </c>
      <c r="C13" s="9">
        <v>46152</v>
      </c>
      <c r="D13" s="9">
        <v>46157</v>
      </c>
      <c r="E13" s="10">
        <f t="shared" si="2"/>
        <v>5</v>
      </c>
      <c r="F13" s="6" t="s">
        <v>13</v>
      </c>
      <c r="G13" s="4"/>
      <c r="H13" s="4"/>
      <c r="I13" s="7" t="str">
        <f t="shared" ca="1" si="3"/>
        <v>🟡 Por iniciar</v>
      </c>
    </row>
    <row r="14" spans="1:10" x14ac:dyDescent="0.35">
      <c r="A14" s="15" t="s">
        <v>264</v>
      </c>
      <c r="B14" s="15" t="s">
        <v>32</v>
      </c>
      <c r="C14" s="9">
        <v>46152</v>
      </c>
      <c r="D14" s="9">
        <v>46157</v>
      </c>
      <c r="E14" s="10">
        <f t="shared" si="2"/>
        <v>5</v>
      </c>
      <c r="F14" s="6" t="s">
        <v>13</v>
      </c>
      <c r="G14" s="4"/>
      <c r="H14" s="4"/>
      <c r="I14" s="7" t="str">
        <f t="shared" ca="1" si="3"/>
        <v>🟡 Por iniciar</v>
      </c>
    </row>
    <row r="15" spans="1:10" x14ac:dyDescent="0.35">
      <c r="A15" s="15" t="s">
        <v>264</v>
      </c>
      <c r="B15" s="15" t="s">
        <v>268</v>
      </c>
      <c r="C15" s="9">
        <v>46164</v>
      </c>
      <c r="D15" s="9">
        <v>46164</v>
      </c>
      <c r="E15" s="10">
        <f t="shared" si="0"/>
        <v>1</v>
      </c>
      <c r="F15" s="6" t="s">
        <v>13</v>
      </c>
      <c r="G15" s="4"/>
      <c r="H15" s="4"/>
      <c r="I15" s="7" t="str">
        <f t="shared" ca="1" si="1"/>
        <v>🟡 Por iniciar</v>
      </c>
    </row>
    <row r="16" spans="1:10" x14ac:dyDescent="0.35">
      <c r="A16" s="15" t="s">
        <v>264</v>
      </c>
      <c r="B16" s="15" t="s">
        <v>68</v>
      </c>
      <c r="C16" s="9">
        <v>46164</v>
      </c>
      <c r="D16" s="9">
        <v>46164</v>
      </c>
      <c r="E16" s="10">
        <f>NETWORKDAYS(C16,D16)</f>
        <v>1</v>
      </c>
      <c r="F16" s="6" t="s">
        <v>13</v>
      </c>
      <c r="G16" s="4"/>
      <c r="H16" s="4"/>
      <c r="I16" s="7" t="str">
        <f ca="1">IF(F16="✅","✅ Completado",IF(TODAY()&lt;C16,"🟡 Por iniciar",IF(TODAY()&lt;=D16,"🟢 En proceso","🔴 Atrasado")))</f>
        <v>🟡 Por iniciar</v>
      </c>
    </row>
    <row r="17" spans="1:9" x14ac:dyDescent="0.35">
      <c r="A17" s="15" t="s">
        <v>264</v>
      </c>
      <c r="B17" s="15" t="s">
        <v>38</v>
      </c>
      <c r="C17" s="9">
        <v>46165</v>
      </c>
      <c r="D17" s="9">
        <v>46165</v>
      </c>
      <c r="E17" s="10">
        <f>NETWORKDAYS(C17,D17)</f>
        <v>0</v>
      </c>
      <c r="F17" s="6" t="s">
        <v>13</v>
      </c>
      <c r="G17" s="4"/>
      <c r="H17" s="4"/>
      <c r="I17" s="7" t="str">
        <f t="shared" ca="1" si="1"/>
        <v>🟡 Por iniciar</v>
      </c>
    </row>
    <row r="18" spans="1:9" x14ac:dyDescent="0.35">
      <c r="A18" s="15" t="s">
        <v>264</v>
      </c>
      <c r="B18" s="8" t="s">
        <v>55</v>
      </c>
      <c r="C18" s="9">
        <v>46166</v>
      </c>
      <c r="D18" s="9">
        <v>46166</v>
      </c>
      <c r="E18" s="10">
        <f t="shared" si="0"/>
        <v>0</v>
      </c>
      <c r="F18" s="6" t="s">
        <v>13</v>
      </c>
      <c r="G18" s="4"/>
      <c r="H18" s="4"/>
      <c r="I18" s="7" t="str">
        <f t="shared" ca="1" si="1"/>
        <v>🟡 Por iniciar</v>
      </c>
    </row>
    <row r="19" spans="1:9" x14ac:dyDescent="0.35">
      <c r="A19" s="15" t="s">
        <v>264</v>
      </c>
      <c r="B19" s="8" t="s">
        <v>43</v>
      </c>
      <c r="C19" s="9">
        <v>46167</v>
      </c>
      <c r="D19" s="9">
        <v>46167</v>
      </c>
      <c r="E19" s="10">
        <f t="shared" si="0"/>
        <v>1</v>
      </c>
      <c r="F19" s="6" t="s">
        <v>13</v>
      </c>
      <c r="G19" s="4"/>
      <c r="H19" s="4"/>
      <c r="I19" s="7" t="str">
        <f t="shared" ca="1" si="1"/>
        <v>🟡 Por iniciar</v>
      </c>
    </row>
    <row r="20" spans="1:9" x14ac:dyDescent="0.35">
      <c r="A20" s="15" t="s">
        <v>264</v>
      </c>
      <c r="B20" s="8" t="s">
        <v>269</v>
      </c>
      <c r="C20" s="9">
        <v>46168</v>
      </c>
      <c r="D20" s="9">
        <v>46168</v>
      </c>
      <c r="E20" s="10">
        <f t="shared" ref="E20:E21" si="6">NETWORKDAYS(C20,D20)</f>
        <v>1</v>
      </c>
      <c r="F20" s="6" t="s">
        <v>13</v>
      </c>
      <c r="G20" s="4"/>
      <c r="H20" s="4"/>
      <c r="I20" s="7" t="str">
        <f t="shared" ref="I20:I21" ca="1" si="7">IF(F20="✅","✅ Completado",IF(TODAY()&lt;C20,"🟡 Por iniciar",IF(TODAY()&lt;=D20,"🟢 En proceso","🔴 Atrasado")))</f>
        <v>🟡 Por iniciar</v>
      </c>
    </row>
    <row r="21" spans="1:9" x14ac:dyDescent="0.35">
      <c r="A21" s="15" t="s">
        <v>264</v>
      </c>
      <c r="B21" s="8" t="s">
        <v>70</v>
      </c>
      <c r="C21" s="9">
        <v>46169</v>
      </c>
      <c r="D21" s="9">
        <v>46169</v>
      </c>
      <c r="E21" s="10">
        <f t="shared" si="6"/>
        <v>1</v>
      </c>
      <c r="F21" s="6" t="s">
        <v>13</v>
      </c>
      <c r="G21" s="4"/>
      <c r="H21" s="4"/>
      <c r="I21" s="7" t="str">
        <f t="shared" ca="1" si="7"/>
        <v>🟡 Por iniciar</v>
      </c>
    </row>
    <row r="22" spans="1:9" x14ac:dyDescent="0.35">
      <c r="A22" s="15" t="s">
        <v>264</v>
      </c>
      <c r="B22" s="8" t="s">
        <v>44</v>
      </c>
      <c r="C22" s="9">
        <v>46170</v>
      </c>
      <c r="D22" s="9">
        <v>46170</v>
      </c>
      <c r="E22" s="10">
        <f t="shared" si="0"/>
        <v>1</v>
      </c>
      <c r="F22" s="6" t="s">
        <v>13</v>
      </c>
      <c r="G22" s="4"/>
      <c r="H22" s="4"/>
      <c r="I22" s="7" t="str">
        <f t="shared" ca="1" si="1"/>
        <v>🟡 Por iniciar</v>
      </c>
    </row>
    <row r="25" spans="1:9" x14ac:dyDescent="0.35">
      <c r="A25" s="18" t="s">
        <v>56</v>
      </c>
      <c r="B25" s="17" t="s">
        <v>270</v>
      </c>
    </row>
    <row r="27" spans="1:9" x14ac:dyDescent="0.35">
      <c r="B27" t="s">
        <v>284</v>
      </c>
    </row>
    <row r="28" spans="1:9" x14ac:dyDescent="0.35">
      <c r="B28" t="s">
        <v>285</v>
      </c>
    </row>
    <row r="29" spans="1:9" x14ac:dyDescent="0.35">
      <c r="B29" t="s">
        <v>286</v>
      </c>
    </row>
  </sheetData>
  <phoneticPr fontId="6" type="noConversion"/>
  <conditionalFormatting sqref="C1 F1:F1048576">
    <cfRule type="containsText" dxfId="11" priority="1" operator="containsText" text="✅">
      <formula>NOT(ISERROR(SEARCH("✅",C1)))</formula>
    </cfRule>
  </conditionalFormatting>
  <conditionalFormatting sqref="C3:H22">
    <cfRule type="expression" dxfId="10" priority="2">
      <formula>$I3="🔴 Atrasado"</formula>
    </cfRule>
  </conditionalFormatting>
  <conditionalFormatting sqref="I1:I1048576">
    <cfRule type="containsText" dxfId="9" priority="3" operator="containsText" text="Completado">
      <formula>NOT(ISERROR(SEARCH("Completado",I1)))</formula>
    </cfRule>
    <cfRule type="containsText" dxfId="8" priority="4" operator="containsText" text="Atrasado">
      <formula>NOT(ISERROR(SEARCH("Atrasado",I1)))</formula>
    </cfRule>
    <cfRule type="containsText" dxfId="7" priority="5" operator="containsText" text="En proceso">
      <formula>NOT(ISERROR(SEARCH("En proceso",I1)))</formula>
    </cfRule>
    <cfRule type="containsText" dxfId="6" priority="6" operator="containsText" text="Por iniciar">
      <formula>NOT(ISERROR(SEARCH("Por iniciar",I1)))</formula>
    </cfRule>
  </conditionalFormatting>
  <dataValidations count="1">
    <dataValidation type="list" showInputMessage="1" showErrorMessage="1" sqref="F3:F22" xr:uid="{99C1C9C7-C310-4D7D-9084-DC6DF7594D5B}">
      <formula1>"✅,No,"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3710-39CA-4129-B6FF-5046DB6F4BD5}">
  <dimension ref="A1:J17"/>
  <sheetViews>
    <sheetView workbookViewId="0">
      <selection sqref="A1:XFD1048576"/>
    </sheetView>
  </sheetViews>
  <sheetFormatPr baseColWidth="10" defaultColWidth="8.81640625" defaultRowHeight="14.5" x14ac:dyDescent="0.35"/>
  <cols>
    <col min="1" max="1" width="28.81640625" customWidth="1"/>
    <col min="2" max="2" width="37.453125" bestFit="1" customWidth="1"/>
    <col min="3" max="3" width="13" style="2" bestFit="1" customWidth="1"/>
    <col min="4" max="4" width="13.81640625" style="1" customWidth="1"/>
    <col min="5" max="5" width="13.1796875" bestFit="1" customWidth="1"/>
    <col min="6" max="6" width="10.7265625" customWidth="1"/>
    <col min="7" max="7" width="22.26953125" customWidth="1"/>
    <col min="8" max="8" width="37" customWidth="1"/>
    <col min="9" max="9" width="16.81640625" bestFit="1" customWidth="1"/>
    <col min="11" max="11" width="11.26953125" bestFit="1" customWidth="1"/>
  </cols>
  <sheetData>
    <row r="1" spans="1:10" ht="23.5" x14ac:dyDescent="0.55000000000000004">
      <c r="B1" s="16" t="s">
        <v>288</v>
      </c>
      <c r="C1"/>
      <c r="D1"/>
    </row>
    <row r="2" spans="1:10" x14ac:dyDescent="0.35">
      <c r="A2" s="12" t="s">
        <v>0</v>
      </c>
      <c r="B2" s="12" t="s">
        <v>1</v>
      </c>
      <c r="C2" s="13" t="s">
        <v>2</v>
      </c>
      <c r="D2" s="14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</row>
    <row r="3" spans="1:10" x14ac:dyDescent="0.35">
      <c r="A3" s="15" t="s">
        <v>288</v>
      </c>
      <c r="B3" s="15" t="s">
        <v>12</v>
      </c>
      <c r="C3" s="9">
        <v>46083</v>
      </c>
      <c r="D3" s="9">
        <v>46096</v>
      </c>
      <c r="E3" s="10">
        <f t="shared" ref="E3:E14" si="0">NETWORKDAYS(C3,D3)</f>
        <v>10</v>
      </c>
      <c r="F3" s="6" t="s">
        <v>11</v>
      </c>
      <c r="G3" s="4"/>
      <c r="H3" s="4"/>
      <c r="I3" s="7" t="str">
        <f t="shared" ref="I3:I14" ca="1" si="1">IF(F3="✅","✅ Completado",IF(TODAY()&lt;C3,"🟡 Por iniciar",IF(TODAY()&lt;=D3,"🟢 En proceso","🔴 Atrasado")))</f>
        <v>✅ Completado</v>
      </c>
    </row>
    <row r="4" spans="1:10" x14ac:dyDescent="0.35">
      <c r="A4" s="15" t="s">
        <v>288</v>
      </c>
      <c r="B4" s="15" t="s">
        <v>14</v>
      </c>
      <c r="C4" s="9">
        <v>46083</v>
      </c>
      <c r="D4" s="9">
        <v>46101</v>
      </c>
      <c r="E4" s="10">
        <f t="shared" si="0"/>
        <v>15</v>
      </c>
      <c r="F4" s="6" t="s">
        <v>11</v>
      </c>
      <c r="G4" s="4"/>
      <c r="H4" s="4"/>
      <c r="I4" s="7" t="str">
        <f t="shared" ca="1" si="1"/>
        <v>✅ Completado</v>
      </c>
    </row>
    <row r="5" spans="1:10" x14ac:dyDescent="0.35">
      <c r="A5" s="15" t="s">
        <v>288</v>
      </c>
      <c r="B5" s="15" t="s">
        <v>15</v>
      </c>
      <c r="C5" s="9">
        <v>46113</v>
      </c>
      <c r="D5" s="9">
        <v>46117</v>
      </c>
      <c r="E5" s="10">
        <f t="shared" si="0"/>
        <v>3</v>
      </c>
      <c r="F5" s="6" t="s">
        <v>11</v>
      </c>
      <c r="G5" s="4"/>
      <c r="H5" s="4"/>
      <c r="I5" s="7" t="str">
        <f t="shared" ca="1" si="1"/>
        <v>✅ Completado</v>
      </c>
    </row>
    <row r="6" spans="1:10" x14ac:dyDescent="0.35">
      <c r="A6" s="15" t="s">
        <v>288</v>
      </c>
      <c r="B6" s="15" t="s">
        <v>16</v>
      </c>
      <c r="C6" s="9">
        <v>46113</v>
      </c>
      <c r="D6" s="9">
        <v>46127</v>
      </c>
      <c r="E6" s="10">
        <f t="shared" si="0"/>
        <v>11</v>
      </c>
      <c r="F6" s="6" t="s">
        <v>11</v>
      </c>
      <c r="G6" s="4"/>
      <c r="H6" s="4"/>
      <c r="I6" s="7" t="str">
        <f t="shared" ca="1" si="1"/>
        <v>✅ Completado</v>
      </c>
    </row>
    <row r="7" spans="1:10" x14ac:dyDescent="0.35">
      <c r="A7" s="15" t="s">
        <v>288</v>
      </c>
      <c r="B7" s="15" t="s">
        <v>46</v>
      </c>
      <c r="C7" s="9">
        <v>46132</v>
      </c>
      <c r="D7" s="9">
        <v>46136</v>
      </c>
      <c r="E7" s="10">
        <f t="shared" si="0"/>
        <v>5</v>
      </c>
      <c r="F7" s="6" t="s">
        <v>13</v>
      </c>
      <c r="G7" s="4"/>
      <c r="H7" s="4"/>
      <c r="I7" s="7" t="str">
        <f t="shared" ca="1" si="1"/>
        <v>🟡 Por iniciar</v>
      </c>
    </row>
    <row r="8" spans="1:10" x14ac:dyDescent="0.35">
      <c r="A8" s="15" t="s">
        <v>288</v>
      </c>
      <c r="B8" s="8" t="s">
        <v>18</v>
      </c>
      <c r="C8" s="9">
        <v>46132</v>
      </c>
      <c r="D8" s="9">
        <v>46136</v>
      </c>
      <c r="E8" s="10">
        <f t="shared" si="0"/>
        <v>5</v>
      </c>
      <c r="F8" s="6" t="s">
        <v>13</v>
      </c>
      <c r="G8" s="4"/>
      <c r="H8" s="4"/>
      <c r="I8" s="7" t="str">
        <f t="shared" ca="1" si="1"/>
        <v>🟡 Por iniciar</v>
      </c>
      <c r="J8" t="s">
        <v>47</v>
      </c>
    </row>
    <row r="9" spans="1:10" x14ac:dyDescent="0.35">
      <c r="A9" s="15" t="s">
        <v>288</v>
      </c>
      <c r="B9" s="15" t="s">
        <v>249</v>
      </c>
      <c r="C9" s="9">
        <v>46142</v>
      </c>
      <c r="D9" s="9">
        <v>46142</v>
      </c>
      <c r="E9" s="10">
        <f t="shared" si="0"/>
        <v>1</v>
      </c>
      <c r="F9" s="6" t="s">
        <v>13</v>
      </c>
      <c r="G9" s="4"/>
      <c r="H9" s="4"/>
      <c r="I9" s="7" t="str">
        <f t="shared" ca="1" si="1"/>
        <v>🟡 Por iniciar</v>
      </c>
    </row>
    <row r="10" spans="1:10" x14ac:dyDescent="0.35">
      <c r="A10" s="15" t="s">
        <v>288</v>
      </c>
      <c r="B10" s="15" t="s">
        <v>247</v>
      </c>
      <c r="C10" s="9">
        <v>46343</v>
      </c>
      <c r="D10" s="9">
        <v>46345</v>
      </c>
      <c r="E10" s="10">
        <f t="shared" si="0"/>
        <v>3</v>
      </c>
      <c r="F10" s="6" t="s">
        <v>13</v>
      </c>
      <c r="G10" s="4"/>
      <c r="H10" s="4" t="s">
        <v>289</v>
      </c>
      <c r="I10" s="7" t="str">
        <f t="shared" ca="1" si="1"/>
        <v>🟡 Por iniciar</v>
      </c>
    </row>
    <row r="11" spans="1:10" x14ac:dyDescent="0.35">
      <c r="A11" s="15" t="s">
        <v>288</v>
      </c>
      <c r="B11" s="15" t="s">
        <v>38</v>
      </c>
      <c r="C11" s="9">
        <v>46359</v>
      </c>
      <c r="D11" s="9">
        <v>46359</v>
      </c>
      <c r="E11" s="10">
        <f>NETWORKDAYS(C11,D11)</f>
        <v>1</v>
      </c>
      <c r="F11" s="6" t="s">
        <v>13</v>
      </c>
      <c r="G11" s="4"/>
      <c r="H11" s="4"/>
      <c r="I11" s="7" t="str">
        <f t="shared" ca="1" si="1"/>
        <v>🟡 Por iniciar</v>
      </c>
    </row>
    <row r="12" spans="1:10" x14ac:dyDescent="0.35">
      <c r="A12" s="15" t="s">
        <v>288</v>
      </c>
      <c r="B12" s="8" t="s">
        <v>55</v>
      </c>
      <c r="C12" s="9">
        <v>46360</v>
      </c>
      <c r="D12" s="9">
        <v>46360</v>
      </c>
      <c r="E12" s="4">
        <f t="shared" si="0"/>
        <v>1</v>
      </c>
      <c r="F12" s="6" t="s">
        <v>13</v>
      </c>
      <c r="G12" s="4"/>
      <c r="H12" s="4"/>
      <c r="I12" s="7" t="str">
        <f t="shared" ca="1" si="1"/>
        <v>🟡 Por iniciar</v>
      </c>
    </row>
    <row r="13" spans="1:10" x14ac:dyDescent="0.35">
      <c r="A13" s="15" t="s">
        <v>288</v>
      </c>
      <c r="B13" s="8" t="s">
        <v>43</v>
      </c>
      <c r="C13" s="9">
        <v>46361</v>
      </c>
      <c r="D13" s="9">
        <v>46361</v>
      </c>
      <c r="E13" s="4">
        <f t="shared" si="0"/>
        <v>0</v>
      </c>
      <c r="F13" s="6" t="s">
        <v>13</v>
      </c>
      <c r="G13" s="4"/>
      <c r="H13" s="4"/>
      <c r="I13" s="7" t="str">
        <f t="shared" ca="1" si="1"/>
        <v>🟡 Por iniciar</v>
      </c>
    </row>
    <row r="14" spans="1:10" x14ac:dyDescent="0.35">
      <c r="A14" s="15" t="s">
        <v>288</v>
      </c>
      <c r="B14" s="8" t="s">
        <v>44</v>
      </c>
      <c r="C14" s="9">
        <v>46362</v>
      </c>
      <c r="D14" s="9">
        <v>46362</v>
      </c>
      <c r="E14" s="4">
        <f t="shared" si="0"/>
        <v>0</v>
      </c>
      <c r="F14" s="6" t="s">
        <v>13</v>
      </c>
      <c r="G14" s="4"/>
      <c r="H14" s="4"/>
      <c r="I14" s="7" t="str">
        <f t="shared" ca="1" si="1"/>
        <v>🟡 Por iniciar</v>
      </c>
    </row>
    <row r="17" spans="1:2" x14ac:dyDescent="0.35">
      <c r="A17" s="18" t="s">
        <v>56</v>
      </c>
      <c r="B17" s="17" t="s">
        <v>91</v>
      </c>
    </row>
  </sheetData>
  <phoneticPr fontId="6" type="noConversion"/>
  <conditionalFormatting sqref="C1 F1:F1048576">
    <cfRule type="containsText" dxfId="5" priority="1" operator="containsText" text="✅">
      <formula>NOT(ISERROR(SEARCH("✅",C1)))</formula>
    </cfRule>
  </conditionalFormatting>
  <conditionalFormatting sqref="C3:H14">
    <cfRule type="expression" dxfId="4" priority="2">
      <formula>$I3="🔴 Atrasado"</formula>
    </cfRule>
  </conditionalFormatting>
  <conditionalFormatting sqref="I1:I1048576">
    <cfRule type="containsText" dxfId="3" priority="3" operator="containsText" text="Completado">
      <formula>NOT(ISERROR(SEARCH("Completado",I1)))</formula>
    </cfRule>
    <cfRule type="containsText" dxfId="2" priority="4" operator="containsText" text="Atrasado">
      <formula>NOT(ISERROR(SEARCH("Atrasado",I1)))</formula>
    </cfRule>
    <cfRule type="containsText" dxfId="1" priority="5" operator="containsText" text="En proceso">
      <formula>NOT(ISERROR(SEARCH("En proceso",I1)))</formula>
    </cfRule>
    <cfRule type="containsText" dxfId="0" priority="6" operator="containsText" text="Por iniciar">
      <formula>NOT(ISERROR(SEARCH("Por iniciar",I1)))</formula>
    </cfRule>
  </conditionalFormatting>
  <dataValidations count="1">
    <dataValidation type="list" showInputMessage="1" showErrorMessage="1" sqref="F3:F14" xr:uid="{028A75DB-B726-46B8-818B-2069E9D0302C}">
      <formula1>"✅,No,"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Cronograma Base</vt:lpstr>
      <vt:lpstr>Huawei Innovation</vt:lpstr>
      <vt:lpstr>Saint Gobain</vt:lpstr>
      <vt:lpstr>Mathematical</vt:lpstr>
      <vt:lpstr>Philosophy</vt:lpstr>
      <vt:lpstr>Toyota</vt:lpstr>
      <vt:lpstr>AMIS</vt:lpstr>
      <vt:lpstr>Animayo</vt:lpstr>
      <vt:lpstr>CPS loT</vt:lpstr>
      <vt:lpstr>Pavilion</vt:lpstr>
      <vt:lpstr>Caracol de plata</vt:lpstr>
      <vt:lpstr>Annecy</vt:lpstr>
      <vt:lpstr>Sport Fit Awards</vt:lpstr>
      <vt:lpstr>Loreal</vt:lpstr>
      <vt:lpstr>Loyola</vt:lpstr>
      <vt:lpstr>Simulación y Logística</vt:lpstr>
      <vt:lpstr>Interamericano DH</vt:lpstr>
      <vt:lpstr>Berlin Indie</vt:lpstr>
      <vt:lpstr>Chilemonos</vt:lpstr>
      <vt:lpstr>C2A</vt:lpstr>
      <vt:lpstr>Punto de partida</vt:lpstr>
      <vt:lpstr>IEOM</vt:lpstr>
      <vt:lpstr>Bee2Be</vt:lpstr>
      <vt:lpstr>CFA Ethics</vt:lpstr>
      <vt:lpstr>Festival Creatividad</vt:lpstr>
      <vt:lpstr>IFT</vt:lpstr>
      <vt:lpstr>Dron Cup</vt:lpstr>
      <vt:lpstr>LIT LIGHT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Oliveros Gómez Paulina</cp:lastModifiedBy>
  <cp:revision/>
  <dcterms:created xsi:type="dcterms:W3CDTF">2025-06-25T01:35:48Z</dcterms:created>
  <dcterms:modified xsi:type="dcterms:W3CDTF">2026-04-17T18:44:08Z</dcterms:modified>
  <cp:category/>
  <cp:contentStatus/>
</cp:coreProperties>
</file>